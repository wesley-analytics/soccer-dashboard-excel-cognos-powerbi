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wesley.truter\Downloads\"/>
    </mc:Choice>
  </mc:AlternateContent>
  <xr:revisionPtr revIDLastSave="0" documentId="13_ncr:1_{D53DD1FF-63BB-463C-8740-0A313D4C31FC}" xr6:coauthVersionLast="47" xr6:coauthVersionMax="47" xr10:uidLastSave="{00000000-0000-0000-0000-000000000000}"/>
  <bookViews>
    <workbookView xWindow="25080" yWindow="-120" windowWidth="29040" windowHeight="15720" xr2:uid="{00000000-000D-0000-FFFF-FFFF00000000}"/>
  </bookViews>
  <sheets>
    <sheet name="Dashboard" sheetId="8" r:id="rId1"/>
    <sheet name="PivotData" sheetId="9" r:id="rId2"/>
    <sheet name="All Leagues" sheetId="1" r:id="rId3"/>
    <sheet name="Premier League" sheetId="2" r:id="rId4"/>
    <sheet name="La Liga" sheetId="3" r:id="rId5"/>
    <sheet name="Bundesliga" sheetId="4" r:id="rId6"/>
    <sheet name="Serie A" sheetId="5" r:id="rId7"/>
    <sheet name="Summary" sheetId="6" r:id="rId8"/>
    <sheet name="Data Notes" sheetId="7" r:id="rId9"/>
  </sheets>
  <definedNames>
    <definedName name="_xlnm._FilterDatabase" localSheetId="2" hidden="1">'All Leagues'!$A$1:$O$1</definedName>
    <definedName name="_xlnm._FilterDatabase" localSheetId="5" hidden="1">Bundesliga!$A$1:$O$1</definedName>
    <definedName name="_xlnm._FilterDatabase" localSheetId="4" hidden="1">'La Liga'!$A$1:$O$1</definedName>
    <definedName name="_xlnm._FilterDatabase" localSheetId="3" hidden="1">'Premier League'!$A$1:$O$1</definedName>
    <definedName name="_xlnm._FilterDatabase" localSheetId="6" hidden="1">'Serie A'!$A$1:$O$1</definedName>
    <definedName name="Slicer_League">#N/A</definedName>
    <definedName name="Slicer_Nationality">#N/A</definedName>
    <definedName name="Slicer_Position">#N/A</definedName>
  </definedNames>
  <calcPr calcId="191029"/>
  <pivotCaches>
    <pivotCache cacheId="3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8" l="1"/>
  <c r="J6" i="8"/>
  <c r="F6" i="8"/>
  <c r="B6" i="8"/>
</calcChain>
</file>

<file path=xl/sharedStrings.xml><?xml version="1.0" encoding="utf-8"?>
<sst xmlns="http://schemas.openxmlformats.org/spreadsheetml/2006/main" count="2542" uniqueCount="341">
  <si>
    <t>Player Name</t>
  </si>
  <si>
    <t>Age</t>
  </si>
  <si>
    <t>Nationality</t>
  </si>
  <si>
    <t>League</t>
  </si>
  <si>
    <t>Club</t>
  </si>
  <si>
    <t>Position</t>
  </si>
  <si>
    <t>Appearances</t>
  </si>
  <si>
    <t>Goals</t>
  </si>
  <si>
    <t>Assists</t>
  </si>
  <si>
    <t>Yellow Cards</t>
  </si>
  <si>
    <t>Red Cards</t>
  </si>
  <si>
    <t>Market Value (€M)</t>
  </si>
  <si>
    <t>Height (cm)</t>
  </si>
  <si>
    <t>Weight (kg)</t>
  </si>
  <si>
    <t>Season</t>
  </si>
  <si>
    <t>Mohamed Salah</t>
  </si>
  <si>
    <t>Egyptian</t>
  </si>
  <si>
    <t>Premier League</t>
  </si>
  <si>
    <t>Liverpool</t>
  </si>
  <si>
    <t>RW</t>
  </si>
  <si>
    <t>2024/25</t>
  </si>
  <si>
    <t>Alexander Isak</t>
  </si>
  <si>
    <t>Swedish</t>
  </si>
  <si>
    <t>Newcastle United</t>
  </si>
  <si>
    <t>ST</t>
  </si>
  <si>
    <t>Erling Haaland</t>
  </si>
  <si>
    <t>Norwegian</t>
  </si>
  <si>
    <t>Manchester City</t>
  </si>
  <si>
    <t>Chris Wood</t>
  </si>
  <si>
    <t>New Zealander</t>
  </si>
  <si>
    <t>Nottingham Forest</t>
  </si>
  <si>
    <t>Bryan Mbeumo</t>
  </si>
  <si>
    <t>Cameroonian</t>
  </si>
  <si>
    <t>Brentford</t>
  </si>
  <si>
    <t>Yoane Wissa</t>
  </si>
  <si>
    <t>Congolese</t>
  </si>
  <si>
    <t>Ollie Watkins</t>
  </si>
  <si>
    <t>English</t>
  </si>
  <si>
    <t>Aston Villa</t>
  </si>
  <si>
    <t>Matheus Cunha</t>
  </si>
  <si>
    <t>Brazilian</t>
  </si>
  <si>
    <t>Wolverhampton</t>
  </si>
  <si>
    <t>CF</t>
  </si>
  <si>
    <t>Cole Palmer</t>
  </si>
  <si>
    <t>Chelsea</t>
  </si>
  <si>
    <t>CAM</t>
  </si>
  <si>
    <t>Bukayo Saka</t>
  </si>
  <si>
    <t>Arsenal</t>
  </si>
  <si>
    <t>Marcus Rashford</t>
  </si>
  <si>
    <t>Manchester United</t>
  </si>
  <si>
    <t>LW</t>
  </si>
  <si>
    <t>Bruno Fernandes</t>
  </si>
  <si>
    <t>Portuguese</t>
  </si>
  <si>
    <t>Son Heung-min</t>
  </si>
  <si>
    <t>South Korean</t>
  </si>
  <si>
    <t>Tottenham Hotspur</t>
  </si>
  <si>
    <t>Phil Foden</t>
  </si>
  <si>
    <t>Martin Ødegaard</t>
  </si>
  <si>
    <t>Virgil van Dijk</t>
  </si>
  <si>
    <t>Dutch</t>
  </si>
  <si>
    <t>CB</t>
  </si>
  <si>
    <t>Declan Rice</t>
  </si>
  <si>
    <t>CDM</t>
  </si>
  <si>
    <t>Trent Alexander-Arnold</t>
  </si>
  <si>
    <t>RB</t>
  </si>
  <si>
    <t>David Raya</t>
  </si>
  <si>
    <t>Spanish</t>
  </si>
  <si>
    <t>GK</t>
  </si>
  <si>
    <t>Alisson Becker</t>
  </si>
  <si>
    <t>Ederson</t>
  </si>
  <si>
    <t>Matz Sels</t>
  </si>
  <si>
    <t>Belgian</t>
  </si>
  <si>
    <t>Nick Pope</t>
  </si>
  <si>
    <t>Ruben Neves</t>
  </si>
  <si>
    <t>CM</t>
  </si>
  <si>
    <t>Kieran Trippier</t>
  </si>
  <si>
    <t>Pedro Porro</t>
  </si>
  <si>
    <t>Dominic Solanke</t>
  </si>
  <si>
    <t>Jarrod Bowen</t>
  </si>
  <si>
    <t>West Ham United</t>
  </si>
  <si>
    <t>James Maddison</t>
  </si>
  <si>
    <t>Harvey Barnes</t>
  </si>
  <si>
    <t>Gabriel Martinelli</t>
  </si>
  <si>
    <t>Leandro Trossard</t>
  </si>
  <si>
    <t>Gabriel Magalhães</t>
  </si>
  <si>
    <t>William Saliba</t>
  </si>
  <si>
    <t>French</t>
  </si>
  <si>
    <t>Ibrahima Konaté</t>
  </si>
  <si>
    <t>Andrew Robertson</t>
  </si>
  <si>
    <t>Scottish</t>
  </si>
  <si>
    <t>LB</t>
  </si>
  <si>
    <t>Reece James</t>
  </si>
  <si>
    <t>Moisés Caicedo</t>
  </si>
  <si>
    <t>Ecuadorian</t>
  </si>
  <si>
    <t>Enzo Fernández</t>
  </si>
  <si>
    <t>Argentine</t>
  </si>
  <si>
    <t>Noni Madueke</t>
  </si>
  <si>
    <t>Jacob Murphy</t>
  </si>
  <si>
    <t>Anthony Elanga</t>
  </si>
  <si>
    <t>Morgan Rogers</t>
  </si>
  <si>
    <t>Antonee Robinson</t>
  </si>
  <si>
    <t>American</t>
  </si>
  <si>
    <t>Fulham</t>
  </si>
  <si>
    <t>Mikkel Damsgaard</t>
  </si>
  <si>
    <t>Danish</t>
  </si>
  <si>
    <t>Jean-Philippe Mateta</t>
  </si>
  <si>
    <t>Crystal Palace</t>
  </si>
  <si>
    <t>Raúl Jiménez</t>
  </si>
  <si>
    <t>Mexican</t>
  </si>
  <si>
    <t>Andreas Pereira</t>
  </si>
  <si>
    <t>Callum Wilson</t>
  </si>
  <si>
    <t>Emile Smith Rowe</t>
  </si>
  <si>
    <t>Kylian Mbappé</t>
  </si>
  <si>
    <t>La Liga</t>
  </si>
  <si>
    <t>Real Madrid</t>
  </si>
  <si>
    <t>Robert Lewandowski</t>
  </si>
  <si>
    <t>Polish</t>
  </si>
  <si>
    <t>Barcelona</t>
  </si>
  <si>
    <t>Vinícius Júnior</t>
  </si>
  <si>
    <t>Raphinha</t>
  </si>
  <si>
    <t>Lamine Yamal</t>
  </si>
  <si>
    <t>Pedri</t>
  </si>
  <si>
    <t>Jude Bellingham</t>
  </si>
  <si>
    <t>Rodrygo</t>
  </si>
  <si>
    <t>Antoine Griezmann</t>
  </si>
  <si>
    <t>Atlético Madrid</t>
  </si>
  <si>
    <t>Julián Álvarez</t>
  </si>
  <si>
    <t>Dani Carvajal</t>
  </si>
  <si>
    <t>Ferran Torres</t>
  </si>
  <si>
    <t>Marc-André ter Stegen</t>
  </si>
  <si>
    <t>German</t>
  </si>
  <si>
    <t>Wojciech Szczęsny</t>
  </si>
  <si>
    <t>Thibaut Courtois</t>
  </si>
  <si>
    <t>Jan Oblak</t>
  </si>
  <si>
    <t>Slovenian</t>
  </si>
  <si>
    <t>Aymeric Laporte</t>
  </si>
  <si>
    <t>Ronald Araújo</t>
  </si>
  <si>
    <t>Uruguayan</t>
  </si>
  <si>
    <t>Pau Cubarsí</t>
  </si>
  <si>
    <t>Lucas Vázquez</t>
  </si>
  <si>
    <t>Ferland Mendy</t>
  </si>
  <si>
    <t>Fede Valverde</t>
  </si>
  <si>
    <t>Luka Modrić</t>
  </si>
  <si>
    <t>Croatian</t>
  </si>
  <si>
    <t>Toni Kroos</t>
  </si>
  <si>
    <t>Gavi</t>
  </si>
  <si>
    <t>Dani Olmo</t>
  </si>
  <si>
    <t>Álvaro Morata</t>
  </si>
  <si>
    <t>Antoine Semenyo</t>
  </si>
  <si>
    <t>Ghanaian</t>
  </si>
  <si>
    <t>Athletic Bilbao</t>
  </si>
  <si>
    <t>Nico Williams</t>
  </si>
  <si>
    <t>Mikel Oyarzabal</t>
  </si>
  <si>
    <t>Real Sociedad</t>
  </si>
  <si>
    <t>Alexander Sørloth</t>
  </si>
  <si>
    <t>Artem Dovbyk</t>
  </si>
  <si>
    <t>Ukrainian</t>
  </si>
  <si>
    <t>AS Roma</t>
  </si>
  <si>
    <t>Iago Aspas</t>
  </si>
  <si>
    <t>Celta Vigo</t>
  </si>
  <si>
    <t>Brais Méndez</t>
  </si>
  <si>
    <t>Dani Vivian</t>
  </si>
  <si>
    <t>Unai Simón</t>
  </si>
  <si>
    <t>Alejandro Grimaldo</t>
  </si>
  <si>
    <t>Bayer Leverkusen</t>
  </si>
  <si>
    <t>Marcos Llorente</t>
  </si>
  <si>
    <t>Griezmann</t>
  </si>
  <si>
    <t>Mario Hermoso</t>
  </si>
  <si>
    <t>Giorgi Mamardashvili</t>
  </si>
  <si>
    <t>Georgian</t>
  </si>
  <si>
    <t>Valencia</t>
  </si>
  <si>
    <t>Sergi Roberto</t>
  </si>
  <si>
    <t>Eder Militão</t>
  </si>
  <si>
    <t>David Alaba</t>
  </si>
  <si>
    <t>Austrian</t>
  </si>
  <si>
    <t>Joselu</t>
  </si>
  <si>
    <t>Sergi Darder</t>
  </si>
  <si>
    <t>Real Betis</t>
  </si>
  <si>
    <t>Ayoze Pérez</t>
  </si>
  <si>
    <t>Giovani Lo Celso</t>
  </si>
  <si>
    <t>Borja Iglesias</t>
  </si>
  <si>
    <t>Harry Kane</t>
  </si>
  <si>
    <t>Bundesliga</t>
  </si>
  <si>
    <t>Bayern Munich</t>
  </si>
  <si>
    <t>Florian Wirtz</t>
  </si>
  <si>
    <t>Omar Marmoush</t>
  </si>
  <si>
    <t>Eintracht Frankfurt</t>
  </si>
  <si>
    <t>Granit Xhaka</t>
  </si>
  <si>
    <t>Swiss</t>
  </si>
  <si>
    <t>Victor Boniface</t>
  </si>
  <si>
    <t>Nigerian</t>
  </si>
  <si>
    <t>Jamal Musiala</t>
  </si>
  <si>
    <t>Leroy Sané</t>
  </si>
  <si>
    <t>Kingsley Coman</t>
  </si>
  <si>
    <t>Manuel Neuer</t>
  </si>
  <si>
    <t>Joshua Kimmich</t>
  </si>
  <si>
    <t>Thomas Müller</t>
  </si>
  <si>
    <t>Serge Gnabry</t>
  </si>
  <si>
    <t>Alphonso Davies</t>
  </si>
  <si>
    <t>Canadian</t>
  </si>
  <si>
    <t>Dayot Upamecano</t>
  </si>
  <si>
    <t>Min-jae Kim</t>
  </si>
  <si>
    <t>Konrad Laimer</t>
  </si>
  <si>
    <t>Raphaël Guerreiro</t>
  </si>
  <si>
    <t>Noussair Mazraoui</t>
  </si>
  <si>
    <t>Moroccan</t>
  </si>
  <si>
    <t>Serhou Guirassy</t>
  </si>
  <si>
    <t>Guinean</t>
  </si>
  <si>
    <t>Borussia Dortmund</t>
  </si>
  <si>
    <t>Karim Adeyemi</t>
  </si>
  <si>
    <t>Julian Brandt</t>
  </si>
  <si>
    <t>Emre Can</t>
  </si>
  <si>
    <t>Marcel Sabitzer</t>
  </si>
  <si>
    <t>Gregor Kobel</t>
  </si>
  <si>
    <t>Mats Hummels</t>
  </si>
  <si>
    <t>Nico Schlotterbeck</t>
  </si>
  <si>
    <t>Ramy Bensebaini</t>
  </si>
  <si>
    <t>Algerian</t>
  </si>
  <si>
    <t>Jonas Hofmann</t>
  </si>
  <si>
    <t>Lukáš Hrádecký</t>
  </si>
  <si>
    <t>Finnish</t>
  </si>
  <si>
    <t>Patrik Schick</t>
  </si>
  <si>
    <t>Czech</t>
  </si>
  <si>
    <t>Exequiel Palacios</t>
  </si>
  <si>
    <t>Jonathan Tah</t>
  </si>
  <si>
    <t>Robert Andrich</t>
  </si>
  <si>
    <t>Xabi Alonso</t>
  </si>
  <si>
    <t>Christopher Nkunku</t>
  </si>
  <si>
    <t>RB Leipzig</t>
  </si>
  <si>
    <t>Lois Openda</t>
  </si>
  <si>
    <t>Xavi Simons</t>
  </si>
  <si>
    <t>Benjamin Sesko</t>
  </si>
  <si>
    <t>Peter Gulácsi</t>
  </si>
  <si>
    <t>Hungarian</t>
  </si>
  <si>
    <t>Willi Orban</t>
  </si>
  <si>
    <t>Kevin Kampl</t>
  </si>
  <si>
    <t>Christoph Baumgartner</t>
  </si>
  <si>
    <t>Nicolas Seiwald</t>
  </si>
  <si>
    <t>Deniz Undav</t>
  </si>
  <si>
    <t>VfB Stuttgart</t>
  </si>
  <si>
    <t>Chris Führich</t>
  </si>
  <si>
    <t>Enzo Millot</t>
  </si>
  <si>
    <t>Alexander Nübel</t>
  </si>
  <si>
    <t>Mateo Retegui</t>
  </si>
  <si>
    <t>Italian</t>
  </si>
  <si>
    <t>Serie A</t>
  </si>
  <si>
    <t>Atalanta</t>
  </si>
  <si>
    <t>Lautaro Martínez</t>
  </si>
  <si>
    <t>Inter Milan</t>
  </si>
  <si>
    <t>Duván Zapata</t>
  </si>
  <si>
    <t>Colombian</t>
  </si>
  <si>
    <t>Torino</t>
  </si>
  <si>
    <t>Ademola Lookman</t>
  </si>
  <si>
    <t>Marcus Thuram</t>
  </si>
  <si>
    <t>Khvicha Kvaratskhelia</t>
  </si>
  <si>
    <t>Napoli</t>
  </si>
  <si>
    <t>Victor Osimhen</t>
  </si>
  <si>
    <t>Rafael Leão</t>
  </si>
  <si>
    <t>AC Milan</t>
  </si>
  <si>
    <t>Theo Hernández</t>
  </si>
  <si>
    <t>Mike Maignan</t>
  </si>
  <si>
    <t>Paulo Dybala</t>
  </si>
  <si>
    <t>Lorenzo Pellegrini</t>
  </si>
  <si>
    <t>Nicolò Barella</t>
  </si>
  <si>
    <t>Hakan Çalhanoğlu</t>
  </si>
  <si>
    <t>Turkish</t>
  </si>
  <si>
    <t>Federica Chiesa</t>
  </si>
  <si>
    <t>Simone Inzaghi</t>
  </si>
  <si>
    <t>Alessandro Bastoni</t>
  </si>
  <si>
    <t>Francesco Acerbi</t>
  </si>
  <si>
    <t>Yann Sommer</t>
  </si>
  <si>
    <t>Denzel Dumfries</t>
  </si>
  <si>
    <t>Federico Dimarco</t>
  </si>
  <si>
    <t>Vlahović</t>
  </si>
  <si>
    <t>Serbian</t>
  </si>
  <si>
    <t>Juventus</t>
  </si>
  <si>
    <t>Federico Chiesa</t>
  </si>
  <si>
    <t>Adrien Rabiot</t>
  </si>
  <si>
    <t>Gleison Bremer</t>
  </si>
  <si>
    <t>Giorgio Chiellini</t>
  </si>
  <si>
    <t>Manuel Locatelli</t>
  </si>
  <si>
    <t>Kenan Yildiz</t>
  </si>
  <si>
    <t>Timothy Weah</t>
  </si>
  <si>
    <t>Gianluca Scamacca</t>
  </si>
  <si>
    <t>Giorgio Scalvini</t>
  </si>
  <si>
    <t>Teun Koopmeiners</t>
  </si>
  <si>
    <t>Mário Pašalić</t>
  </si>
  <si>
    <t>Juan Musso</t>
  </si>
  <si>
    <t>Tammy Abraham</t>
  </si>
  <si>
    <t>Stephan El Shaarawy</t>
  </si>
  <si>
    <t>Bryan Cristante</t>
  </si>
  <si>
    <t>Mile Svilar</t>
  </si>
  <si>
    <t>Galatasaray</t>
  </si>
  <si>
    <t>Giovanni Di Lorenzo</t>
  </si>
  <si>
    <t>Piotr Zieliński</t>
  </si>
  <si>
    <t>Scott McTominay</t>
  </si>
  <si>
    <t>Alex Meret</t>
  </si>
  <si>
    <t>Paris Saint-Germain</t>
  </si>
  <si>
    <t>Romelu Lukaku</t>
  </si>
  <si>
    <t>Frank Zambo Anguissa</t>
  </si>
  <si>
    <t>Stanislav Lobotka</t>
  </si>
  <si>
    <t>Slovak</t>
  </si>
  <si>
    <t>Jesper Lindström</t>
  </si>
  <si>
    <t>Amir Rrahmani</t>
  </si>
  <si>
    <t>Kosovar</t>
  </si>
  <si>
    <t>Olivera Mathias</t>
  </si>
  <si>
    <t>⚽  European Soccer – Real 2024/25 Season Data</t>
  </si>
  <si>
    <t>Country</t>
  </si>
  <si>
    <t>Players</t>
  </si>
  <si>
    <t>Total Goals</t>
  </si>
  <si>
    <t>Total Assists</t>
  </si>
  <si>
    <t>Avg Market Value (€M)</t>
  </si>
  <si>
    <t>Top Scorer</t>
  </si>
  <si>
    <t>England</t>
  </si>
  <si>
    <t>Mohamed Salah (29)</t>
  </si>
  <si>
    <t>Spain</t>
  </si>
  <si>
    <t>Kylian Mbappé (31)</t>
  </si>
  <si>
    <t>Germany</t>
  </si>
  <si>
    <t>Harry Kane (26)</t>
  </si>
  <si>
    <t>Italy</t>
  </si>
  <si>
    <t>Mateo Retegui (25)</t>
  </si>
  <si>
    <t>Dataset Information</t>
  </si>
  <si>
    <t>Data Source</t>
  </si>
  <si>
    <t>FBref.com, Transfermarkt.com, official league sites</t>
  </si>
  <si>
    <t>2024/25 (completed May 2025)</t>
  </si>
  <si>
    <t>Coverage</t>
  </si>
  <si>
    <t>Real verified player stats — top/key players per league</t>
  </si>
  <si>
    <t>Market Value</t>
  </si>
  <si>
    <t>In Euros (millions), sourced from Transfermarkt</t>
  </si>
  <si>
    <t>League goals only (excluding cups/Champions League)</t>
  </si>
  <si>
    <t>League appearances only</t>
  </si>
  <si>
    <t>Note</t>
  </si>
  <si>
    <t>Dataset covers prominent players. Full squad data requires Kaggle/FBref CSV export.</t>
  </si>
  <si>
    <t>Last Updated</t>
  </si>
  <si>
    <t>March 2026</t>
  </si>
  <si>
    <t>Row Labels</t>
  </si>
  <si>
    <t>Grand Total</t>
  </si>
  <si>
    <t>Sum of Goals</t>
  </si>
  <si>
    <t>Count of Player Name</t>
  </si>
  <si>
    <t>Max of Market Value (€M)</t>
  </si>
  <si>
    <t>Total Players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</si>
</sst>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00"/>
  </numFmts>
  <fonts count="10" x14ac:knownFonts="1">
    <font>
      <sz val="11"/>
      <color theme="1"/>
      <name val="Calibri"/>
      <family val="2"/>
      <scheme val="minor"/>
    </font>
    <font>
      <b/>
      <sz val="11"/>
      <color rgb="FFFFFFFF"/>
      <name val="Arial"/>
      <family val="2"/>
    </font>
    <font>
      <sz val="10"/>
      <name val="Arial"/>
      <family val="2"/>
    </font>
    <font>
      <b/>
      <sz val="14"/>
      <color rgb="FFFFFFFF"/>
      <name val="Arial"/>
      <family val="2"/>
    </font>
    <font>
      <b/>
      <sz val="11"/>
      <name val="Arial"/>
      <family val="2"/>
    </font>
    <font>
      <sz val="11"/>
      <name val="Arial"/>
      <family val="2"/>
    </font>
    <font>
      <b/>
      <sz val="13"/>
      <name val="Arial"/>
      <family val="2"/>
    </font>
    <font>
      <b/>
      <sz val="11"/>
      <color theme="0"/>
      <name val="Arial"/>
      <family val="2"/>
    </font>
    <font>
      <b/>
      <sz val="18"/>
      <color theme="0"/>
      <name val="Arial"/>
      <family val="2"/>
    </font>
    <font>
      <b/>
      <sz val="16"/>
      <color theme="0"/>
      <name val="Arial"/>
      <family val="2"/>
    </font>
  </fonts>
  <fills count="15">
    <fill>
      <patternFill patternType="none"/>
    </fill>
    <fill>
      <patternFill patternType="gray125"/>
    </fill>
    <fill>
      <patternFill patternType="solid">
        <fgColor rgb="FF212121"/>
      </patternFill>
    </fill>
    <fill>
      <patternFill patternType="solid">
        <fgColor rgb="FFF5F5F5"/>
      </patternFill>
    </fill>
    <fill>
      <patternFill patternType="solid">
        <fgColor rgb="FFFFFFFF"/>
      </patternFill>
    </fill>
    <fill>
      <patternFill patternType="solid">
        <fgColor rgb="FF3D0A6B"/>
      </patternFill>
    </fill>
    <fill>
      <patternFill patternType="solid">
        <fgColor rgb="FFEDE7F6"/>
      </patternFill>
    </fill>
    <fill>
      <patternFill patternType="solid">
        <fgColor rgb="FFB71C1C"/>
      </patternFill>
    </fill>
    <fill>
      <patternFill patternType="solid">
        <fgColor rgb="FFFFEBEE"/>
      </patternFill>
    </fill>
    <fill>
      <patternFill patternType="solid">
        <fgColor rgb="FF1A237E"/>
      </patternFill>
    </fill>
    <fill>
      <patternFill patternType="solid">
        <fgColor rgb="FFE8EAF6"/>
      </patternFill>
    </fill>
    <fill>
      <patternFill patternType="solid">
        <fgColor rgb="FF004D40"/>
      </patternFill>
    </fill>
    <fill>
      <patternFill patternType="solid">
        <fgColor rgb="FFE0F2F1"/>
      </patternFill>
    </fill>
    <fill>
      <patternFill patternType="solid">
        <fgColor rgb="FF37474F"/>
      </patternFill>
    </fill>
    <fill>
      <patternFill patternType="solid">
        <fgColor theme="9" tint="-0.499984740745262"/>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s>
  <cellStyleXfs count="1">
    <xf numFmtId="0" fontId="0" fillId="0" borderId="0"/>
  </cellStyleXfs>
  <cellXfs count="52">
    <xf numFmtId="0" fontId="0" fillId="0" borderId="0" xfId="0"/>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2" fillId="6" borderId="1" xfId="0" applyFont="1" applyFill="1" applyBorder="1" applyAlignment="1">
      <alignment horizontal="left" vertical="center"/>
    </xf>
    <xf numFmtId="0" fontId="2"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2" fillId="8" borderId="1" xfId="0" applyFont="1" applyFill="1" applyBorder="1" applyAlignment="1">
      <alignment horizontal="left" vertical="center"/>
    </xf>
    <xf numFmtId="0" fontId="2"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2" fillId="10" borderId="1" xfId="0" applyFont="1" applyFill="1" applyBorder="1" applyAlignment="1">
      <alignment horizontal="left" vertical="center"/>
    </xf>
    <xf numFmtId="0" fontId="2"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2" fillId="12" borderId="1" xfId="0" applyFont="1" applyFill="1" applyBorder="1" applyAlignment="1">
      <alignment horizontal="left" vertical="center"/>
    </xf>
    <xf numFmtId="0" fontId="2"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4" fillId="6" borderId="1" xfId="0" applyFont="1" applyFill="1" applyBorder="1" applyAlignment="1">
      <alignment horizontal="left" vertical="center"/>
    </xf>
    <xf numFmtId="0" fontId="5" fillId="6" borderId="1" xfId="0" applyFont="1" applyFill="1" applyBorder="1" applyAlignment="1">
      <alignment horizontal="left" vertical="center"/>
    </xf>
    <xf numFmtId="0" fontId="5" fillId="6" borderId="1" xfId="0" applyFont="1" applyFill="1" applyBorder="1" applyAlignment="1">
      <alignment horizontal="center" vertical="center"/>
    </xf>
    <xf numFmtId="0" fontId="4" fillId="8" borderId="1" xfId="0" applyFont="1" applyFill="1" applyBorder="1" applyAlignment="1">
      <alignment horizontal="left" vertical="center"/>
    </xf>
    <xf numFmtId="0" fontId="5" fillId="8" borderId="1" xfId="0" applyFont="1" applyFill="1" applyBorder="1" applyAlignment="1">
      <alignment horizontal="left" vertical="center"/>
    </xf>
    <xf numFmtId="0" fontId="5" fillId="8" borderId="1" xfId="0" applyFont="1" applyFill="1" applyBorder="1" applyAlignment="1">
      <alignment horizontal="center" vertical="center"/>
    </xf>
    <xf numFmtId="0" fontId="4" fillId="10" borderId="1" xfId="0" applyFont="1" applyFill="1" applyBorder="1" applyAlignment="1">
      <alignment horizontal="left" vertical="center"/>
    </xf>
    <xf numFmtId="0" fontId="5" fillId="10" borderId="1" xfId="0" applyFont="1" applyFill="1" applyBorder="1" applyAlignment="1">
      <alignment horizontal="left" vertical="center"/>
    </xf>
    <xf numFmtId="0" fontId="5" fillId="10" borderId="1" xfId="0" applyFont="1" applyFill="1" applyBorder="1" applyAlignment="1">
      <alignment horizontal="center" vertical="center"/>
    </xf>
    <xf numFmtId="0" fontId="4" fillId="12" borderId="1" xfId="0" applyFont="1" applyFill="1" applyBorder="1" applyAlignment="1">
      <alignment horizontal="left" vertical="center"/>
    </xf>
    <xf numFmtId="0" fontId="5" fillId="12" borderId="1" xfId="0" applyFont="1" applyFill="1" applyBorder="1" applyAlignment="1">
      <alignment horizontal="left" vertical="center"/>
    </xf>
    <xf numFmtId="0" fontId="5" fillId="12" borderId="1" xfId="0" applyFont="1" applyFill="1" applyBorder="1" applyAlignment="1">
      <alignment horizontal="center" vertical="center"/>
    </xf>
    <xf numFmtId="0" fontId="6" fillId="0" borderId="0" xfId="0" applyFont="1"/>
    <xf numFmtId="0" fontId="4" fillId="0" borderId="0" xfId="0" applyFont="1"/>
    <xf numFmtId="0" fontId="5" fillId="0" borderId="0" xfId="0" applyFont="1"/>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4" borderId="7" xfId="0" applyFont="1" applyFill="1" applyBorder="1" applyAlignment="1">
      <alignment horizontal="left" vertical="center"/>
    </xf>
    <xf numFmtId="0" fontId="2" fillId="4" borderId="8" xfId="0" applyFont="1" applyFill="1" applyBorder="1" applyAlignment="1">
      <alignment horizontal="center" vertical="center"/>
    </xf>
    <xf numFmtId="0" fontId="2" fillId="4" borderId="8" xfId="0" applyFont="1" applyFill="1" applyBorder="1" applyAlignment="1">
      <alignment horizontal="left" vertical="center"/>
    </xf>
    <xf numFmtId="0" fontId="2" fillId="4" borderId="9" xfId="0" applyFont="1" applyFill="1" applyBorder="1" applyAlignment="1">
      <alignment horizontal="center" vertical="center"/>
    </xf>
    <xf numFmtId="0" fontId="0" fillId="0" borderId="0" xfId="0" pivotButton="1"/>
    <xf numFmtId="0" fontId="0" fillId="0" borderId="0" xfId="0" applyAlignment="1">
      <alignment horizontal="left"/>
    </xf>
    <xf numFmtId="0" fontId="8" fillId="14" borderId="0" xfId="0" applyFont="1" applyFill="1" applyAlignment="1">
      <alignment horizontal="center" vertical="center"/>
    </xf>
    <xf numFmtId="164" fontId="8" fillId="14" borderId="0" xfId="0" applyNumberFormat="1" applyFont="1" applyFill="1" applyAlignment="1">
      <alignment horizontal="center" vertical="center"/>
    </xf>
    <xf numFmtId="0" fontId="7" fillId="14" borderId="0" xfId="0" applyFont="1" applyFill="1" applyAlignment="1">
      <alignment horizontal="center" vertical="center"/>
    </xf>
    <xf numFmtId="0" fontId="3" fillId="2" borderId="0" xfId="0" applyFont="1" applyFill="1" applyAlignment="1">
      <alignment horizontal="center" vertical="center"/>
    </xf>
    <xf numFmtId="0" fontId="0" fillId="0" borderId="0" xfId="0"/>
    <xf numFmtId="0" fontId="9" fillId="14" borderId="0" xfId="0" applyFont="1" applyFill="1" applyAlignment="1">
      <alignment horizontal="center" vertical="center"/>
    </xf>
  </cellXfs>
  <cellStyles count="1">
    <cellStyle name="Normal" xfId="0" builtinId="0"/>
  </cellStyles>
  <dxfs count="20">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right style="thin">
          <color rgb="FFD0D0D0"/>
        </right>
        <top style="thin">
          <color rgb="FFD0D0D0"/>
        </top>
        <bottom style="thin">
          <color rgb="FFD0D0D0"/>
        </bottom>
        <vertical/>
        <horizontal/>
      </border>
    </dxf>
    <dxf>
      <border outline="0">
        <top style="thin">
          <color rgb="FFD0D0D0"/>
        </top>
      </border>
    </dxf>
    <dxf>
      <border outline="0">
        <left style="thin">
          <color rgb="FFD0D0D0"/>
        </left>
        <right style="thin">
          <color rgb="FFD0D0D0"/>
        </right>
        <top style="thin">
          <color rgb="FFD0D0D0"/>
        </top>
        <bottom style="thin">
          <color rgb="FFD0D0D0"/>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dxf>
    <dxf>
      <border outline="0">
        <bottom style="thin">
          <color rgb="FFD0D0D0"/>
        </bottom>
      </border>
    </dxf>
    <dxf>
      <font>
        <b/>
        <i val="0"/>
        <strike val="0"/>
        <condense val="0"/>
        <extend val="0"/>
        <outline val="0"/>
        <shadow val="0"/>
        <u val="none"/>
        <vertAlign val="baseline"/>
        <sz val="11"/>
        <color rgb="FFFFFFFF"/>
        <name val="Arial"/>
        <scheme val="none"/>
      </font>
      <fill>
        <patternFill patternType="solid">
          <fgColor indexed="64"/>
          <bgColor rgb="FF212121"/>
        </patternFill>
      </fill>
      <alignment horizontal="center" vertical="center" textRotation="0" wrapText="0" indent="0" justifyLastLine="0" shrinkToFit="0" readingOrder="0"/>
      <border diagonalUp="0" diagonalDown="0" outline="0">
        <left style="thin">
          <color rgb="FFD0D0D0"/>
        </left>
        <right style="thin">
          <color rgb="FFD0D0D0"/>
        </right>
        <top/>
        <bottom/>
      </border>
    </dxf>
  </dxfs>
  <tableStyles count="0" defaultTableStyle="TableStyleMedium9"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[Soccer_RealData_2024-25.xlsx]PivotData!PT_GoalsByLeague</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 Goals by League</a:t>
            </a:r>
            <a:endParaRPr lang="en-US"/>
          </a:p>
        </c:rich>
      </c:tx>
      <c:layout>
        <c:manualLayout>
          <c:xMode val="edge"/>
          <c:yMode val="edge"/>
          <c:x val="0.25292774088598025"/>
          <c:y val="3.830555555555555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PivotData!$A$2:$A$6</c:f>
              <c:strCache>
                <c:ptCount val="4"/>
                <c:pt idx="0">
                  <c:v>Bundesliga</c:v>
                </c:pt>
                <c:pt idx="1">
                  <c:v>La Liga</c:v>
                </c:pt>
                <c:pt idx="2">
                  <c:v>Premier League</c:v>
                </c:pt>
                <c:pt idx="3">
                  <c:v>Serie A</c:v>
                </c:pt>
              </c:strCache>
            </c:strRef>
          </c:cat>
          <c:val>
            <c:numRef>
              <c:f>PivotData!$B$2:$B$6</c:f>
              <c:numCache>
                <c:formatCode>General</c:formatCode>
                <c:ptCount val="4"/>
                <c:pt idx="0">
                  <c:v>289</c:v>
                </c:pt>
                <c:pt idx="1">
                  <c:v>305</c:v>
                </c:pt>
                <c:pt idx="2">
                  <c:v>401</c:v>
                </c:pt>
                <c:pt idx="3">
                  <c:v>278</c:v>
                </c:pt>
              </c:numCache>
            </c:numRef>
          </c:val>
          <c:extLst>
            <c:ext xmlns:c16="http://schemas.microsoft.com/office/drawing/2014/chart" uri="{C3380CC4-5D6E-409C-BE32-E72D297353CC}">
              <c16:uniqueId val="{00000000-652E-4940-A2C3-66718D6D85DD}"/>
            </c:ext>
          </c:extLst>
        </c:ser>
        <c:dLbls>
          <c:showLegendKey val="0"/>
          <c:showVal val="0"/>
          <c:showCatName val="0"/>
          <c:showSerName val="0"/>
          <c:showPercent val="0"/>
          <c:showBubbleSize val="0"/>
        </c:dLbls>
        <c:gapWidth val="100"/>
        <c:overlap val="-24"/>
        <c:axId val="339385936"/>
        <c:axId val="1474787679"/>
      </c:barChart>
      <c:catAx>
        <c:axId val="33938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787679"/>
        <c:crosses val="autoZero"/>
        <c:auto val="1"/>
        <c:lblAlgn val="ctr"/>
        <c:lblOffset val="100"/>
        <c:noMultiLvlLbl val="0"/>
      </c:catAx>
      <c:valAx>
        <c:axId val="14747876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3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[Soccer_RealData_2024-25.xlsx]PivotData!PT_PlayersByPosition</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 Players by Position</a:t>
            </a:r>
            <a:endParaRPr lang="en-US"/>
          </a:p>
        </c:rich>
      </c:tx>
      <c:layout>
        <c:manualLayout>
          <c:xMode val="edge"/>
          <c:yMode val="edge"/>
          <c:x val="0.25490867433793696"/>
          <c:y val="3.830452426433208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PivotData!$E$1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4AE-4A76-AA82-55903D12D72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4AE-4A76-AA82-55903D12D72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4AE-4A76-AA82-55903D12D72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4AE-4A76-AA82-55903D12D72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4AE-4A76-AA82-55903D12D72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4AE-4A76-AA82-55903D12D72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4AE-4A76-AA82-55903D12D724}"/>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4AE-4A76-AA82-55903D12D724}"/>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74AE-4A76-AA82-55903D12D724}"/>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74AE-4A76-AA82-55903D12D724}"/>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74AE-4A76-AA82-55903D12D724}"/>
              </c:ext>
            </c:extLst>
          </c:dPt>
          <c:cat>
            <c:strRef>
              <c:f>PivotData!$D$2:$D$13</c:f>
              <c:strCache>
                <c:ptCount val="11"/>
                <c:pt idx="0">
                  <c:v>CAM</c:v>
                </c:pt>
                <c:pt idx="1">
                  <c:v>CB</c:v>
                </c:pt>
                <c:pt idx="2">
                  <c:v>CDM</c:v>
                </c:pt>
                <c:pt idx="3">
                  <c:v>CF</c:v>
                </c:pt>
                <c:pt idx="4">
                  <c:v>CM</c:v>
                </c:pt>
                <c:pt idx="5">
                  <c:v>GK</c:v>
                </c:pt>
                <c:pt idx="6">
                  <c:v>LB</c:v>
                </c:pt>
                <c:pt idx="7">
                  <c:v>LW</c:v>
                </c:pt>
                <c:pt idx="8">
                  <c:v>RB</c:v>
                </c:pt>
                <c:pt idx="9">
                  <c:v>RW</c:v>
                </c:pt>
                <c:pt idx="10">
                  <c:v>ST</c:v>
                </c:pt>
              </c:strCache>
            </c:strRef>
          </c:cat>
          <c:val>
            <c:numRef>
              <c:f>PivotData!$E$2:$E$13</c:f>
              <c:numCache>
                <c:formatCode>General</c:formatCode>
                <c:ptCount val="11"/>
                <c:pt idx="0">
                  <c:v>17</c:v>
                </c:pt>
                <c:pt idx="1">
                  <c:v>23</c:v>
                </c:pt>
                <c:pt idx="2">
                  <c:v>11</c:v>
                </c:pt>
                <c:pt idx="3">
                  <c:v>8</c:v>
                </c:pt>
                <c:pt idx="4">
                  <c:v>26</c:v>
                </c:pt>
                <c:pt idx="5">
                  <c:v>22</c:v>
                </c:pt>
                <c:pt idx="6">
                  <c:v>11</c:v>
                </c:pt>
                <c:pt idx="7">
                  <c:v>17</c:v>
                </c:pt>
                <c:pt idx="8">
                  <c:v>10</c:v>
                </c:pt>
                <c:pt idx="9">
                  <c:v>17</c:v>
                </c:pt>
                <c:pt idx="10">
                  <c:v>36</c:v>
                </c:pt>
              </c:numCache>
            </c:numRef>
          </c:val>
          <c:extLst>
            <c:ext xmlns:c16="http://schemas.microsoft.com/office/drawing/2014/chart" uri="{C3380CC4-5D6E-409C-BE32-E72D297353CC}">
              <c16:uniqueId val="{00000016-74AE-4A76-AA82-55903D12D7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[Soccer_RealData_2024-25.xlsx]PivotData!PT_TopMarketValues</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 Top 10 Market Values</a:t>
            </a:r>
            <a:endParaRPr lang="en-US"/>
          </a:p>
        </c:rich>
      </c:tx>
      <c:layout>
        <c:manualLayout>
          <c:xMode val="edge"/>
          <c:yMode val="edge"/>
          <c:x val="0.22585213531433659"/>
          <c:y val="3.814930555555554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PivotData!$H$1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PivotData!$G$2:$G$12</c:f>
              <c:strCache>
                <c:ptCount val="10"/>
                <c:pt idx="0">
                  <c:v>Lamine Yamal</c:v>
                </c:pt>
                <c:pt idx="1">
                  <c:v>Vinícius Júnior</c:v>
                </c:pt>
                <c:pt idx="2">
                  <c:v>Jude Bellingham</c:v>
                </c:pt>
                <c:pt idx="3">
                  <c:v>Kylian Mbappé</c:v>
                </c:pt>
                <c:pt idx="4">
                  <c:v>Pedri</c:v>
                </c:pt>
                <c:pt idx="5">
                  <c:v>Erling Haaland</c:v>
                </c:pt>
                <c:pt idx="6">
                  <c:v>Jamal Musiala</c:v>
                </c:pt>
                <c:pt idx="7">
                  <c:v>Florian Wirtz</c:v>
                </c:pt>
                <c:pt idx="8">
                  <c:v>Bukayo Saka</c:v>
                </c:pt>
                <c:pt idx="9">
                  <c:v>Phil Foden</c:v>
                </c:pt>
              </c:strCache>
            </c:strRef>
          </c:cat>
          <c:val>
            <c:numRef>
              <c:f>PivotData!$H$2:$H$12</c:f>
              <c:numCache>
                <c:formatCode>General</c:formatCode>
                <c:ptCount val="10"/>
                <c:pt idx="0">
                  <c:v>250</c:v>
                </c:pt>
                <c:pt idx="1">
                  <c:v>200</c:v>
                </c:pt>
                <c:pt idx="2">
                  <c:v>200</c:v>
                </c:pt>
                <c:pt idx="3">
                  <c:v>180</c:v>
                </c:pt>
                <c:pt idx="4">
                  <c:v>180</c:v>
                </c:pt>
                <c:pt idx="5">
                  <c:v>180</c:v>
                </c:pt>
                <c:pt idx="6">
                  <c:v>150</c:v>
                </c:pt>
                <c:pt idx="7">
                  <c:v>150</c:v>
                </c:pt>
                <c:pt idx="8">
                  <c:v>150</c:v>
                </c:pt>
                <c:pt idx="9">
                  <c:v>130</c:v>
                </c:pt>
              </c:numCache>
            </c:numRef>
          </c:val>
          <c:extLst>
            <c:ext xmlns:c16="http://schemas.microsoft.com/office/drawing/2014/chart" uri="{C3380CC4-5D6E-409C-BE32-E72D297353CC}">
              <c16:uniqueId val="{00000000-CC18-4B1B-AF7E-54A7DE6D39F4}"/>
            </c:ext>
          </c:extLst>
        </c:ser>
        <c:dLbls>
          <c:showLegendKey val="0"/>
          <c:showVal val="0"/>
          <c:showCatName val="0"/>
          <c:showSerName val="0"/>
          <c:showPercent val="0"/>
          <c:showBubbleSize val="0"/>
        </c:dLbls>
        <c:gapWidth val="115"/>
        <c:overlap val="-20"/>
        <c:axId val="1936831535"/>
        <c:axId val="1936832015"/>
      </c:barChart>
      <c:catAx>
        <c:axId val="1936831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832015"/>
        <c:crosses val="autoZero"/>
        <c:auto val="1"/>
        <c:lblAlgn val="ctr"/>
        <c:lblOffset val="100"/>
        <c:noMultiLvlLbl val="0"/>
      </c:catAx>
      <c:valAx>
        <c:axId val="1936832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83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[Soccer_RealData_2024-25.xlsx]PivotData!PT_Nationality</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 Players by Nationality</a:t>
            </a:r>
            <a:endParaRPr lang="en-US"/>
          </a:p>
        </c:rich>
      </c:tx>
      <c:layout>
        <c:manualLayout>
          <c:xMode val="edge"/>
          <c:yMode val="edge"/>
          <c:x val="0.2287089743589743"/>
          <c:y val="3.814930555555554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PivotData!$K$1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PivotData!$J$2:$J$15</c:f>
              <c:strCache>
                <c:ptCount val="13"/>
                <c:pt idx="0">
                  <c:v>Argentine</c:v>
                </c:pt>
                <c:pt idx="1">
                  <c:v>Austrian</c:v>
                </c:pt>
                <c:pt idx="2">
                  <c:v>Belgian</c:v>
                </c:pt>
                <c:pt idx="3">
                  <c:v>Brazilian</c:v>
                </c:pt>
                <c:pt idx="4">
                  <c:v>Dutch</c:v>
                </c:pt>
                <c:pt idx="5">
                  <c:v>English</c:v>
                </c:pt>
                <c:pt idx="6">
                  <c:v>French</c:v>
                </c:pt>
                <c:pt idx="7">
                  <c:v>German</c:v>
                </c:pt>
                <c:pt idx="8">
                  <c:v>Italian</c:v>
                </c:pt>
                <c:pt idx="9">
                  <c:v>Nigerian</c:v>
                </c:pt>
                <c:pt idx="10">
                  <c:v>Polish</c:v>
                </c:pt>
                <c:pt idx="11">
                  <c:v>Portuguese</c:v>
                </c:pt>
                <c:pt idx="12">
                  <c:v>Spanish</c:v>
                </c:pt>
              </c:strCache>
            </c:strRef>
          </c:cat>
          <c:val>
            <c:numRef>
              <c:f>PivotData!$K$2:$K$15</c:f>
              <c:numCache>
                <c:formatCode>General</c:formatCode>
                <c:ptCount val="13"/>
                <c:pt idx="0">
                  <c:v>7</c:v>
                </c:pt>
                <c:pt idx="1">
                  <c:v>5</c:v>
                </c:pt>
                <c:pt idx="2">
                  <c:v>6</c:v>
                </c:pt>
                <c:pt idx="3">
                  <c:v>11</c:v>
                </c:pt>
                <c:pt idx="4">
                  <c:v>4</c:v>
                </c:pt>
                <c:pt idx="5">
                  <c:v>22</c:v>
                </c:pt>
                <c:pt idx="6">
                  <c:v>15</c:v>
                </c:pt>
                <c:pt idx="7">
                  <c:v>20</c:v>
                </c:pt>
                <c:pt idx="8">
                  <c:v>17</c:v>
                </c:pt>
                <c:pt idx="9">
                  <c:v>4</c:v>
                </c:pt>
                <c:pt idx="10">
                  <c:v>4</c:v>
                </c:pt>
                <c:pt idx="11">
                  <c:v>4</c:v>
                </c:pt>
                <c:pt idx="12">
                  <c:v>28</c:v>
                </c:pt>
              </c:numCache>
            </c:numRef>
          </c:val>
          <c:extLst>
            <c:ext xmlns:c16="http://schemas.microsoft.com/office/drawing/2014/chart" uri="{C3380CC4-5D6E-409C-BE32-E72D297353CC}">
              <c16:uniqueId val="{00000000-31FC-4FB4-BBB3-D25930946C6F}"/>
            </c:ext>
          </c:extLst>
        </c:ser>
        <c:dLbls>
          <c:showLegendKey val="0"/>
          <c:showVal val="0"/>
          <c:showCatName val="0"/>
          <c:showSerName val="0"/>
          <c:showPercent val="0"/>
          <c:showBubbleSize val="0"/>
        </c:dLbls>
        <c:gapWidth val="100"/>
        <c:overlap val="-24"/>
        <c:axId val="1848910271"/>
        <c:axId val="1848909791"/>
      </c:barChart>
      <c:catAx>
        <c:axId val="1848910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909791"/>
        <c:crosses val="autoZero"/>
        <c:auto val="1"/>
        <c:lblAlgn val="ctr"/>
        <c:lblOffset val="100"/>
        <c:noMultiLvlLbl val="0"/>
      </c:catAx>
      <c:valAx>
        <c:axId val="1848909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91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443443</xdr:colOff>
      <xdr:row>8</xdr:row>
      <xdr:rowOff>131340</xdr:rowOff>
    </xdr:from>
    <xdr:to>
      <xdr:col>8</xdr:col>
      <xdr:colOff>64110</xdr:colOff>
      <xdr:row>16</xdr:row>
      <xdr:rowOff>47340</xdr:rowOff>
    </xdr:to>
    <xdr:graphicFrame macro="">
      <xdr:nvGraphicFramePr>
        <xdr:cNvPr id="2" name="Chart 2">
          <a:extLst>
            <a:ext uri="{FF2B5EF4-FFF2-40B4-BE49-F238E27FC236}">
              <a16:creationId xmlns:a16="http://schemas.microsoft.com/office/drawing/2014/main" id="{568640BA-5940-E65E-3E78-2EC3CB938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467360</xdr:colOff>
      <xdr:row>8</xdr:row>
      <xdr:rowOff>121814</xdr:rowOff>
    </xdr:from>
    <xdr:to>
      <xdr:col>16</xdr:col>
      <xdr:colOff>88026</xdr:colOff>
      <xdr:row>16</xdr:row>
      <xdr:rowOff>37814</xdr:rowOff>
    </xdr:to>
    <xdr:graphicFrame macro="">
      <xdr:nvGraphicFramePr>
        <xdr:cNvPr id="3" name="Chart 3">
          <a:extLst>
            <a:ext uri="{FF2B5EF4-FFF2-40B4-BE49-F238E27FC236}">
              <a16:creationId xmlns:a16="http://schemas.microsoft.com/office/drawing/2014/main" id="{7371CCDD-1DCF-9BF3-7DD2-E41AB9E79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442595</xdr:colOff>
      <xdr:row>17</xdr:row>
      <xdr:rowOff>9419</xdr:rowOff>
    </xdr:from>
    <xdr:to>
      <xdr:col>8</xdr:col>
      <xdr:colOff>63262</xdr:colOff>
      <xdr:row>24</xdr:row>
      <xdr:rowOff>115919</xdr:rowOff>
    </xdr:to>
    <xdr:graphicFrame macro="">
      <xdr:nvGraphicFramePr>
        <xdr:cNvPr id="4" name="Chart 7">
          <a:extLst>
            <a:ext uri="{FF2B5EF4-FFF2-40B4-BE49-F238E27FC236}">
              <a16:creationId xmlns:a16="http://schemas.microsoft.com/office/drawing/2014/main" id="{B20592F6-3E7D-E6C7-E2DA-5D17DE16F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477943</xdr:colOff>
      <xdr:row>16</xdr:row>
      <xdr:rowOff>185526</xdr:rowOff>
    </xdr:from>
    <xdr:to>
      <xdr:col>16</xdr:col>
      <xdr:colOff>98609</xdr:colOff>
      <xdr:row>24</xdr:row>
      <xdr:rowOff>101526</xdr:rowOff>
    </xdr:to>
    <xdr:graphicFrame macro="">
      <xdr:nvGraphicFramePr>
        <xdr:cNvPr id="5" name="Chart 5">
          <a:extLst>
            <a:ext uri="{FF2B5EF4-FFF2-40B4-BE49-F238E27FC236}">
              <a16:creationId xmlns:a16="http://schemas.microsoft.com/office/drawing/2014/main" id="{CFDA41EA-732E-D5C5-B1E1-83BE5CA90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460374</xdr:colOff>
      <xdr:row>25</xdr:row>
      <xdr:rowOff>82551</xdr:rowOff>
    </xdr:from>
    <xdr:to>
      <xdr:col>16</xdr:col>
      <xdr:colOff>402166</xdr:colOff>
      <xdr:row>31</xdr:row>
      <xdr:rowOff>179917</xdr:rowOff>
    </xdr:to>
    <mc:AlternateContent xmlns:mc="http://schemas.openxmlformats.org/markup-compatibility/2006">
      <mc:Choice xmlns:a14="http://schemas.microsoft.com/office/drawing/2010/main" Requires="a14">
        <xdr:graphicFrame macro="">
          <xdr:nvGraphicFramePr>
            <xdr:cNvPr id="12" name="Nationality">
              <a:extLst>
                <a:ext uri="{FF2B5EF4-FFF2-40B4-BE49-F238E27FC236}">
                  <a16:creationId xmlns:a16="http://schemas.microsoft.com/office/drawing/2014/main" id="{47C09FB4-288C-8C20-08F1-FC9F57427732}"/>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dr:sp macro="" textlink="">
          <xdr:nvSpPr>
            <xdr:cNvPr id="0" name=""/>
            <xdr:cNvSpPr>
              <a:spLocks noTextEdit="1"/>
            </xdr:cNvSpPr>
          </xdr:nvSpPr>
          <xdr:spPr>
            <a:xfrm>
              <a:off x="4918074" y="4845051"/>
              <a:ext cx="3408892" cy="124036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305433</xdr:colOff>
      <xdr:row>25</xdr:row>
      <xdr:rowOff>81703</xdr:rowOff>
    </xdr:from>
    <xdr:to>
      <xdr:col>5</xdr:col>
      <xdr:colOff>60113</xdr:colOff>
      <xdr:row>31</xdr:row>
      <xdr:rowOff>179917</xdr:rowOff>
    </xdr:to>
    <mc:AlternateContent xmlns:mc="http://schemas.openxmlformats.org/markup-compatibility/2006">
      <mc:Choice xmlns:a14="http://schemas.microsoft.com/office/drawing/2010/main" Requires="a14">
        <xdr:graphicFrame macro="">
          <xdr:nvGraphicFramePr>
            <xdr:cNvPr id="13" name="League">
              <a:extLst>
                <a:ext uri="{FF2B5EF4-FFF2-40B4-BE49-F238E27FC236}">
                  <a16:creationId xmlns:a16="http://schemas.microsoft.com/office/drawing/2014/main" id="{81C18898-A69D-CAFA-5221-DC10F40CA362}"/>
                </a:ext>
              </a:extLst>
            </xdr:cNvPr>
            <xdr:cNvGraphicFramePr/>
          </xdr:nvGraphicFramePr>
          <xdr:xfrm>
            <a:off x="0" y="0"/>
            <a:ext cx="0" cy="0"/>
          </xdr:xfrm>
          <a:graphic>
            <a:graphicData uri="http://schemas.microsoft.com/office/drawing/2010/slicer">
              <sle:slicer xmlns:sle="http://schemas.microsoft.com/office/drawing/2010/slicer" name="League"/>
            </a:graphicData>
          </a:graphic>
        </xdr:graphicFrame>
      </mc:Choice>
      <mc:Fallback>
        <xdr:sp macro="" textlink="">
          <xdr:nvSpPr>
            <xdr:cNvPr id="0" name=""/>
            <xdr:cNvSpPr>
              <a:spLocks noTextEdit="1"/>
            </xdr:cNvSpPr>
          </xdr:nvSpPr>
          <xdr:spPr>
            <a:xfrm>
              <a:off x="305433" y="4844203"/>
              <a:ext cx="2231180" cy="124121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146475</xdr:colOff>
      <xdr:row>25</xdr:row>
      <xdr:rowOff>74505</xdr:rowOff>
    </xdr:from>
    <xdr:to>
      <xdr:col>9</xdr:col>
      <xdr:colOff>350732</xdr:colOff>
      <xdr:row>31</xdr:row>
      <xdr:rowOff>179916</xdr:rowOff>
    </xdr:to>
    <mc:AlternateContent xmlns:mc="http://schemas.openxmlformats.org/markup-compatibility/2006">
      <mc:Choice xmlns:a14="http://schemas.microsoft.com/office/drawing/2010/main" Requires="a14">
        <xdr:graphicFrame macro="">
          <xdr:nvGraphicFramePr>
            <xdr:cNvPr id="14" name="Position">
              <a:extLst>
                <a:ext uri="{FF2B5EF4-FFF2-40B4-BE49-F238E27FC236}">
                  <a16:creationId xmlns:a16="http://schemas.microsoft.com/office/drawing/2014/main" id="{8AA4D600-C9EE-21CA-9C0D-0E171F94BA0C}"/>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dr:sp macro="" textlink="">
          <xdr:nvSpPr>
            <xdr:cNvPr id="0" name=""/>
            <xdr:cNvSpPr>
              <a:spLocks noTextEdit="1"/>
            </xdr:cNvSpPr>
          </xdr:nvSpPr>
          <xdr:spPr>
            <a:xfrm>
              <a:off x="2622975" y="4837005"/>
              <a:ext cx="2185457" cy="124841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106045</xdr:colOff>
      <xdr:row>0</xdr:row>
      <xdr:rowOff>51012</xdr:rowOff>
    </xdr:from>
    <xdr:to>
      <xdr:col>14</xdr:col>
      <xdr:colOff>221191</xdr:colOff>
      <xdr:row>2</xdr:row>
      <xdr:rowOff>169334</xdr:rowOff>
    </xdr:to>
    <xdr:sp macro="" textlink="">
      <xdr:nvSpPr>
        <xdr:cNvPr id="15" name="TextBox 14">
          <a:extLst>
            <a:ext uri="{FF2B5EF4-FFF2-40B4-BE49-F238E27FC236}">
              <a16:creationId xmlns:a16="http://schemas.microsoft.com/office/drawing/2014/main" id="{45B20253-4E25-0DCF-7E38-9D61C2A9F70F}"/>
            </a:ext>
          </a:extLst>
        </xdr:cNvPr>
        <xdr:cNvSpPr txBox="1"/>
      </xdr:nvSpPr>
      <xdr:spPr>
        <a:xfrm>
          <a:off x="1096645" y="51012"/>
          <a:ext cx="6058746" cy="499322"/>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a:solidFill>
                <a:schemeClr val="bg1"/>
              </a:solidFill>
              <a:latin typeface="Arial" panose="020B0604020202020204" pitchFamily="34" charset="0"/>
              <a:cs typeface="Arial" panose="020B0604020202020204" pitchFamily="34" charset="0"/>
            </a:rPr>
            <a:t>⚽ Soccer Analytics Dashboard — 2024/25 Season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sley Truter" refreshedDate="46097.487368865739" createdVersion="8" refreshedVersion="8" minRefreshableVersion="3" recordCount="198" xr:uid="{B1E230B1-6F83-4E61-9E46-F55A4FDE08EE}">
  <cacheSource type="worksheet">
    <worksheetSource name="SoccerData"/>
  </cacheSource>
  <cacheFields count="15">
    <cacheField name="Player Name" numFmtId="0">
      <sharedItems count="194">
        <s v="Mohamed Salah"/>
        <s v="Alexander Isak"/>
        <s v="Erling Haaland"/>
        <s v="Chris Wood"/>
        <s v="Bryan Mbeumo"/>
        <s v="Yoane Wissa"/>
        <s v="Ollie Watkins"/>
        <s v="Matheus Cunha"/>
        <s v="Cole Palmer"/>
        <s v="Bukayo Saka"/>
        <s v="Marcus Rashford"/>
        <s v="Bruno Fernandes"/>
        <s v="Son Heung-min"/>
        <s v="Phil Foden"/>
        <s v="Martin Ødegaard"/>
        <s v="Virgil van Dijk"/>
        <s v="Declan Rice"/>
        <s v="Trent Alexander-Arnold"/>
        <s v="David Raya"/>
        <s v="Alisson Becker"/>
        <s v="Ederson"/>
        <s v="Matz Sels"/>
        <s v="Nick Pope"/>
        <s v="Ruben Neves"/>
        <s v="Kieran Trippier"/>
        <s v="Pedro Porro"/>
        <s v="Dominic Solanke"/>
        <s v="Jarrod Bowen"/>
        <s v="James Maddison"/>
        <s v="Harvey Barnes"/>
        <s v="Gabriel Martinelli"/>
        <s v="Leandro Trossard"/>
        <s v="Gabriel Magalhães"/>
        <s v="William Saliba"/>
        <s v="Ibrahima Konaté"/>
        <s v="Andrew Robertson"/>
        <s v="Reece James"/>
        <s v="Moisés Caicedo"/>
        <s v="Enzo Fernández"/>
        <s v="Noni Madueke"/>
        <s v="Jacob Murphy"/>
        <s v="Anthony Elanga"/>
        <s v="Morgan Rogers"/>
        <s v="Antonee Robinson"/>
        <s v="Mikkel Damsgaard"/>
        <s v="Jean-Philippe Mateta"/>
        <s v="Raúl Jiménez"/>
        <s v="Andreas Pereira"/>
        <s v="Callum Wilson"/>
        <s v="Emile Smith Rowe"/>
        <s v="Kylian Mbappé"/>
        <s v="Robert Lewandowski"/>
        <s v="Vinícius Júnior"/>
        <s v="Raphinha"/>
        <s v="Lamine Yamal"/>
        <s v="Pedri"/>
        <s v="Jude Bellingham"/>
        <s v="Rodrygo"/>
        <s v="Antoine Griezmann"/>
        <s v="Julián Álvarez"/>
        <s v="Dani Carvajal"/>
        <s v="Ferran Torres"/>
        <s v="Marc-André ter Stegen"/>
        <s v="Wojciech Szczęsny"/>
        <s v="Thibaut Courtois"/>
        <s v="Jan Oblak"/>
        <s v="Aymeric Laporte"/>
        <s v="Ronald Araújo"/>
        <s v="Pau Cubarsí"/>
        <s v="Lucas Vázquez"/>
        <s v="Ferland Mendy"/>
        <s v="Fede Valverde"/>
        <s v="Luka Modrić"/>
        <s v="Toni Kroos"/>
        <s v="Gavi"/>
        <s v="Dani Olmo"/>
        <s v="Álvaro Morata"/>
        <s v="Antoine Semenyo"/>
        <s v="Nico Williams"/>
        <s v="Mikel Oyarzabal"/>
        <s v="Alexander Sørloth"/>
        <s v="Artem Dovbyk"/>
        <s v="Iago Aspas"/>
        <s v="Brais Méndez"/>
        <s v="Dani Vivian"/>
        <s v="Unai Simón"/>
        <s v="Alejandro Grimaldo"/>
        <s v="Marcos Llorente"/>
        <s v="Griezmann"/>
        <s v="Mario Hermoso"/>
        <s v="Giorgi Mamardashvili"/>
        <s v="Sergi Roberto"/>
        <s v="Eder Militão"/>
        <s v="David Alaba"/>
        <s v="Joselu"/>
        <s v="Sergi Darder"/>
        <s v="Ayoze Pérez"/>
        <s v="Giovani Lo Celso"/>
        <s v="Borja Iglesias"/>
        <s v="Harry Kane"/>
        <s v="Florian Wirtz"/>
        <s v="Omar Marmoush"/>
        <s v="Granit Xhaka"/>
        <s v="Victor Boniface"/>
        <s v="Jamal Musiala"/>
        <s v="Leroy Sané"/>
        <s v="Kingsley Coman"/>
        <s v="Manuel Neuer"/>
        <s v="Joshua Kimmich"/>
        <s v="Thomas Müller"/>
        <s v="Serge Gnabry"/>
        <s v="Alphonso Davies"/>
        <s v="Dayot Upamecano"/>
        <s v="Min-jae Kim"/>
        <s v="Konrad Laimer"/>
        <s v="Raphaël Guerreiro"/>
        <s v="Noussair Mazraoui"/>
        <s v="Serhou Guirassy"/>
        <s v="Karim Adeyemi"/>
        <s v="Julian Brandt"/>
        <s v="Emre Can"/>
        <s v="Marcel Sabitzer"/>
        <s v="Gregor Kobel"/>
        <s v="Mats Hummels"/>
        <s v="Nico Schlotterbeck"/>
        <s v="Ramy Bensebaini"/>
        <s v="Jonas Hofmann"/>
        <s v="Lukáš Hrádecký"/>
        <s v="Patrik Schick"/>
        <s v="Exequiel Palacios"/>
        <s v="Jonathan Tah"/>
        <s v="Robert Andrich"/>
        <s v="Xabi Alonso"/>
        <s v="Christopher Nkunku"/>
        <s v="Lois Openda"/>
        <s v="Xavi Simons"/>
        <s v="Benjamin Sesko"/>
        <s v="Peter Gulácsi"/>
        <s v="Willi Orban"/>
        <s v="Kevin Kampl"/>
        <s v="Christoph Baumgartner"/>
        <s v="Nicolas Seiwald"/>
        <s v="Deniz Undav"/>
        <s v="Chris Führich"/>
        <s v="Enzo Millot"/>
        <s v="Alexander Nübel"/>
        <s v="Mateo Retegui"/>
        <s v="Lautaro Martínez"/>
        <s v="Duván Zapata"/>
        <s v="Ademola Lookman"/>
        <s v="Marcus Thuram"/>
        <s v="Khvicha Kvaratskhelia"/>
        <s v="Victor Osimhen"/>
        <s v="Rafael Leão"/>
        <s v="Theo Hernández"/>
        <s v="Mike Maignan"/>
        <s v="Paulo Dybala"/>
        <s v="Lorenzo Pellegrini"/>
        <s v="Nicolò Barella"/>
        <s v="Hakan Çalhanoğlu"/>
        <s v="Federica Chiesa"/>
        <s v="Simone Inzaghi"/>
        <s v="Alessandro Bastoni"/>
        <s v="Francesco Acerbi"/>
        <s v="Yann Sommer"/>
        <s v="Denzel Dumfries"/>
        <s v="Federico Dimarco"/>
        <s v="Vlahović"/>
        <s v="Federico Chiesa"/>
        <s v="Adrien Rabiot"/>
        <s v="Gleison Bremer"/>
        <s v="Giorgio Chiellini"/>
        <s v="Manuel Locatelli"/>
        <s v="Kenan Yildiz"/>
        <s v="Timothy Weah"/>
        <s v="Gianluca Scamacca"/>
        <s v="Giorgio Scalvini"/>
        <s v="Teun Koopmeiners"/>
        <s v="Mário Pašalić"/>
        <s v="Juan Musso"/>
        <s v="Tammy Abraham"/>
        <s v="Stephan El Shaarawy"/>
        <s v="Bryan Cristante"/>
        <s v="Mile Svilar"/>
        <s v="Giovanni Di Lorenzo"/>
        <s v="Piotr Zieliński"/>
        <s v="Scott McTominay"/>
        <s v="Alex Meret"/>
        <s v="Romelu Lukaku"/>
        <s v="Frank Zambo Anguissa"/>
        <s v="Stanislav Lobotka"/>
        <s v="Jesper Lindström"/>
        <s v="Amir Rrahmani"/>
        <s v="Olivera Mathias"/>
      </sharedItems>
    </cacheField>
    <cacheField name="Age" numFmtId="0">
      <sharedItems containsSemiMixedTypes="0" containsString="0" containsNumber="1" containsInteger="1" minValue="17" maxValue="48"/>
    </cacheField>
    <cacheField name="Nationality" numFmtId="0">
      <sharedItems count="44">
        <s v="Egyptian"/>
        <s v="Swedish"/>
        <s v="Norwegian"/>
        <s v="New Zealander"/>
        <s v="Cameroonian"/>
        <s v="Congolese"/>
        <s v="English"/>
        <s v="Brazilian"/>
        <s v="Portuguese"/>
        <s v="South Korean"/>
        <s v="Dutch"/>
        <s v="Spanish"/>
        <s v="Belgian"/>
        <s v="French"/>
        <s v="Scottish"/>
        <s v="Ecuadorian"/>
        <s v="Argentine"/>
        <s v="American"/>
        <s v="Danish"/>
        <s v="Mexican"/>
        <s v="Polish"/>
        <s v="German"/>
        <s v="Slovenian"/>
        <s v="Uruguayan"/>
        <s v="Croatian"/>
        <s v="Ghanaian"/>
        <s v="Ukrainian"/>
        <s v="Georgian"/>
        <s v="Austrian"/>
        <s v="Swiss"/>
        <s v="Nigerian"/>
        <s v="Canadian"/>
        <s v="Moroccan"/>
        <s v="Guinean"/>
        <s v="Algerian"/>
        <s v="Finnish"/>
        <s v="Czech"/>
        <s v="Hungarian"/>
        <s v="Italian"/>
        <s v="Colombian"/>
        <s v="Turkish"/>
        <s v="Serbian"/>
        <s v="Slovak"/>
        <s v="Kosovar"/>
      </sharedItems>
    </cacheField>
    <cacheField name="League" numFmtId="0">
      <sharedItems count="4">
        <s v="Premier League"/>
        <s v="La Liga"/>
        <s v="Bundesliga"/>
        <s v="Serie A"/>
      </sharedItems>
    </cacheField>
    <cacheField name="Club" numFmtId="0">
      <sharedItems/>
    </cacheField>
    <cacheField name="Position" numFmtId="0">
      <sharedItems count="11">
        <s v="RW"/>
        <s v="ST"/>
        <s v="CF"/>
        <s v="CAM"/>
        <s v="LW"/>
        <s v="CB"/>
        <s v="CDM"/>
        <s v="RB"/>
        <s v="GK"/>
        <s v="CM"/>
        <s v="LB"/>
      </sharedItems>
    </cacheField>
    <cacheField name="Appearances" numFmtId="0">
      <sharedItems containsSemiMixedTypes="0" containsString="0" containsNumber="1" containsInteger="1" minValue="0" maxValue="38"/>
    </cacheField>
    <cacheField name="Goals" numFmtId="0">
      <sharedItems containsSemiMixedTypes="0" containsString="0" containsNumber="1" containsInteger="1" minValue="0" maxValue="31"/>
    </cacheField>
    <cacheField name="Assists" numFmtId="0">
      <sharedItems containsSemiMixedTypes="0" containsString="0" containsNumber="1" containsInteger="1" minValue="0" maxValue="20"/>
    </cacheField>
    <cacheField name="Yellow Cards" numFmtId="0">
      <sharedItems containsSemiMixedTypes="0" containsString="0" containsNumber="1" containsInteger="1" minValue="0" maxValue="9"/>
    </cacheField>
    <cacheField name="Red Cards" numFmtId="0">
      <sharedItems containsSemiMixedTypes="0" containsString="0" containsNumber="1" containsInteger="1" minValue="0" maxValue="1"/>
    </cacheField>
    <cacheField name="Market Value (€M)" numFmtId="0">
      <sharedItems containsSemiMixedTypes="0" containsString="0" containsNumber="1" containsInteger="1" minValue="0" maxValue="250"/>
    </cacheField>
    <cacheField name="Height (cm)" numFmtId="0">
      <sharedItems containsSemiMixedTypes="0" containsString="0" containsNumber="1" containsInteger="1" minValue="168" maxValue="199"/>
    </cacheField>
    <cacheField name="Weight (kg)" numFmtId="0">
      <sharedItems containsSemiMixedTypes="0" containsString="0" containsNumber="1" containsInteger="1" minValue="60" maxValue="96"/>
    </cacheField>
    <cacheField name="Season" numFmtId="0">
      <sharedItems/>
    </cacheField>
  </cacheFields>
  <extLst>
    <ext xmlns:x14="http://schemas.microsoft.com/office/spreadsheetml/2009/9/main" uri="{725AE2AE-9491-48be-B2B4-4EB974FC3084}">
      <x14:pivotCacheDefinition pivotCacheId="1327707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n v="32"/>
    <x v="0"/>
    <x v="0"/>
    <s v="Liverpool"/>
    <x v="0"/>
    <n v="38"/>
    <n v="29"/>
    <n v="18"/>
    <n v="2"/>
    <n v="0"/>
    <n v="75"/>
    <n v="175"/>
    <n v="71"/>
    <s v="2024/25"/>
  </r>
  <r>
    <x v="1"/>
    <n v="25"/>
    <x v="1"/>
    <x v="0"/>
    <s v="Newcastle United"/>
    <x v="1"/>
    <n v="35"/>
    <n v="23"/>
    <n v="5"/>
    <n v="3"/>
    <n v="0"/>
    <n v="90"/>
    <n v="190"/>
    <n v="79"/>
    <s v="2024/25"/>
  </r>
  <r>
    <x v="2"/>
    <n v="24"/>
    <x v="2"/>
    <x v="0"/>
    <s v="Manchester City"/>
    <x v="1"/>
    <n v="31"/>
    <n v="22"/>
    <n v="5"/>
    <n v="2"/>
    <n v="0"/>
    <n v="180"/>
    <n v="194"/>
    <n v="88"/>
    <s v="2024/25"/>
  </r>
  <r>
    <x v="3"/>
    <n v="33"/>
    <x v="3"/>
    <x v="0"/>
    <s v="Nottingham Forest"/>
    <x v="1"/>
    <n v="36"/>
    <n v="20"/>
    <n v="3"/>
    <n v="4"/>
    <n v="0"/>
    <n v="12"/>
    <n v="190"/>
    <n v="82"/>
    <s v="2024/25"/>
  </r>
  <r>
    <x v="4"/>
    <n v="25"/>
    <x v="4"/>
    <x v="0"/>
    <s v="Brentford"/>
    <x v="0"/>
    <n v="37"/>
    <n v="20"/>
    <n v="7"/>
    <n v="3"/>
    <n v="0"/>
    <n v="55"/>
    <n v="170"/>
    <n v="67"/>
    <s v="2024/25"/>
  </r>
  <r>
    <x v="5"/>
    <n v="28"/>
    <x v="5"/>
    <x v="0"/>
    <s v="Brentford"/>
    <x v="1"/>
    <n v="35"/>
    <n v="19"/>
    <n v="6"/>
    <n v="2"/>
    <n v="0"/>
    <n v="35"/>
    <n v="176"/>
    <n v="75"/>
    <s v="2024/25"/>
  </r>
  <r>
    <x v="6"/>
    <n v="29"/>
    <x v="6"/>
    <x v="0"/>
    <s v="Aston Villa"/>
    <x v="1"/>
    <n v="36"/>
    <n v="16"/>
    <n v="8"/>
    <n v="3"/>
    <n v="0"/>
    <n v="75"/>
    <n v="180"/>
    <n v="77"/>
    <s v="2024/25"/>
  </r>
  <r>
    <x v="7"/>
    <n v="25"/>
    <x v="7"/>
    <x v="0"/>
    <s v="Wolverhampton"/>
    <x v="2"/>
    <n v="34"/>
    <n v="15"/>
    <n v="9"/>
    <n v="7"/>
    <n v="0"/>
    <n v="55"/>
    <n v="180"/>
    <n v="77"/>
    <s v="2024/25"/>
  </r>
  <r>
    <x v="8"/>
    <n v="22"/>
    <x v="6"/>
    <x v="0"/>
    <s v="Chelsea"/>
    <x v="3"/>
    <n v="34"/>
    <n v="15"/>
    <n v="12"/>
    <n v="3"/>
    <n v="0"/>
    <n v="120"/>
    <n v="185"/>
    <n v="74"/>
    <s v="2024/25"/>
  </r>
  <r>
    <x v="9"/>
    <n v="23"/>
    <x v="6"/>
    <x v="0"/>
    <s v="Arsenal"/>
    <x v="0"/>
    <n v="31"/>
    <n v="13"/>
    <n v="10"/>
    <n v="2"/>
    <n v="0"/>
    <n v="150"/>
    <n v="178"/>
    <n v="72"/>
    <s v="2024/25"/>
  </r>
  <r>
    <x v="10"/>
    <n v="27"/>
    <x v="6"/>
    <x v="0"/>
    <s v="Manchester United"/>
    <x v="4"/>
    <n v="20"/>
    <n v="7"/>
    <n v="3"/>
    <n v="2"/>
    <n v="0"/>
    <n v="50"/>
    <n v="180"/>
    <n v="70"/>
    <s v="2024/25"/>
  </r>
  <r>
    <x v="11"/>
    <n v="30"/>
    <x v="8"/>
    <x v="0"/>
    <s v="Manchester United"/>
    <x v="3"/>
    <n v="35"/>
    <n v="11"/>
    <n v="10"/>
    <n v="9"/>
    <n v="1"/>
    <n v="55"/>
    <n v="179"/>
    <n v="69"/>
    <s v="2024/25"/>
  </r>
  <r>
    <x v="12"/>
    <n v="32"/>
    <x v="9"/>
    <x v="0"/>
    <s v="Tottenham Hotspur"/>
    <x v="4"/>
    <n v="36"/>
    <n v="9"/>
    <n v="9"/>
    <n v="3"/>
    <n v="0"/>
    <n v="30"/>
    <n v="183"/>
    <n v="78"/>
    <s v="2024/25"/>
  </r>
  <r>
    <x v="13"/>
    <n v="24"/>
    <x v="6"/>
    <x v="0"/>
    <s v="Manchester City"/>
    <x v="3"/>
    <n v="28"/>
    <n v="8"/>
    <n v="10"/>
    <n v="3"/>
    <n v="0"/>
    <n v="130"/>
    <n v="171"/>
    <n v="69"/>
    <s v="2024/25"/>
  </r>
  <r>
    <x v="14"/>
    <n v="26"/>
    <x v="2"/>
    <x v="0"/>
    <s v="Arsenal"/>
    <x v="3"/>
    <n v="23"/>
    <n v="5"/>
    <n v="8"/>
    <n v="3"/>
    <n v="0"/>
    <n v="120"/>
    <n v="178"/>
    <n v="68"/>
    <s v="2024/25"/>
  </r>
  <r>
    <x v="15"/>
    <n v="33"/>
    <x v="10"/>
    <x v="0"/>
    <s v="Liverpool"/>
    <x v="5"/>
    <n v="37"/>
    <n v="5"/>
    <n v="2"/>
    <n v="4"/>
    <n v="0"/>
    <n v="35"/>
    <n v="193"/>
    <n v="92"/>
    <s v="2024/25"/>
  </r>
  <r>
    <x v="16"/>
    <n v="26"/>
    <x v="6"/>
    <x v="0"/>
    <s v="Arsenal"/>
    <x v="6"/>
    <n v="35"/>
    <n v="7"/>
    <n v="8"/>
    <n v="8"/>
    <n v="1"/>
    <n v="100"/>
    <n v="185"/>
    <n v="80"/>
    <s v="2024/25"/>
  </r>
  <r>
    <x v="17"/>
    <n v="26"/>
    <x v="6"/>
    <x v="0"/>
    <s v="Liverpool"/>
    <x v="7"/>
    <n v="28"/>
    <n v="3"/>
    <n v="10"/>
    <n v="3"/>
    <n v="0"/>
    <n v="70"/>
    <n v="175"/>
    <n v="69"/>
    <s v="2024/25"/>
  </r>
  <r>
    <x v="18"/>
    <n v="29"/>
    <x v="11"/>
    <x v="0"/>
    <s v="Arsenal"/>
    <x v="8"/>
    <n v="38"/>
    <n v="0"/>
    <n v="0"/>
    <n v="2"/>
    <n v="0"/>
    <n v="40"/>
    <n v="183"/>
    <n v="79"/>
    <s v="2024/25"/>
  </r>
  <r>
    <x v="19"/>
    <n v="32"/>
    <x v="7"/>
    <x v="0"/>
    <s v="Liverpool"/>
    <x v="8"/>
    <n v="26"/>
    <n v="0"/>
    <n v="0"/>
    <n v="1"/>
    <n v="0"/>
    <n v="35"/>
    <n v="191"/>
    <n v="91"/>
    <s v="2024/25"/>
  </r>
  <r>
    <x v="20"/>
    <n v="31"/>
    <x v="7"/>
    <x v="0"/>
    <s v="Manchester City"/>
    <x v="8"/>
    <n v="34"/>
    <n v="0"/>
    <n v="0"/>
    <n v="2"/>
    <n v="0"/>
    <n v="35"/>
    <n v="188"/>
    <n v="86"/>
    <s v="2024/25"/>
  </r>
  <r>
    <x v="21"/>
    <n v="32"/>
    <x v="12"/>
    <x v="0"/>
    <s v="Nottingham Forest"/>
    <x v="8"/>
    <n v="38"/>
    <n v="0"/>
    <n v="0"/>
    <n v="1"/>
    <n v="0"/>
    <n v="10"/>
    <n v="189"/>
    <n v="86"/>
    <s v="2024/25"/>
  </r>
  <r>
    <x v="22"/>
    <n v="33"/>
    <x v="6"/>
    <x v="0"/>
    <s v="Newcastle United"/>
    <x v="8"/>
    <n v="10"/>
    <n v="0"/>
    <n v="0"/>
    <n v="1"/>
    <n v="0"/>
    <n v="20"/>
    <n v="198"/>
    <n v="88"/>
    <s v="2024/25"/>
  </r>
  <r>
    <x v="23"/>
    <n v="27"/>
    <x v="8"/>
    <x v="0"/>
    <s v="Arsenal"/>
    <x v="9"/>
    <n v="18"/>
    <n v="2"/>
    <n v="3"/>
    <n v="3"/>
    <n v="0"/>
    <n v="30"/>
    <n v="179"/>
    <n v="75"/>
    <s v="2024/25"/>
  </r>
  <r>
    <x v="24"/>
    <n v="34"/>
    <x v="6"/>
    <x v="0"/>
    <s v="Newcastle United"/>
    <x v="7"/>
    <n v="22"/>
    <n v="1"/>
    <n v="3"/>
    <n v="3"/>
    <n v="0"/>
    <n v="15"/>
    <n v="173"/>
    <n v="73"/>
    <s v="2024/25"/>
  </r>
  <r>
    <x v="25"/>
    <n v="25"/>
    <x v="11"/>
    <x v="0"/>
    <s v="Tottenham Hotspur"/>
    <x v="7"/>
    <n v="35"/>
    <n v="4"/>
    <n v="8"/>
    <n v="5"/>
    <n v="0"/>
    <n v="45"/>
    <n v="173"/>
    <n v="69"/>
    <s v="2024/25"/>
  </r>
  <r>
    <x v="26"/>
    <n v="27"/>
    <x v="6"/>
    <x v="0"/>
    <s v="Tottenham Hotspur"/>
    <x v="1"/>
    <n v="34"/>
    <n v="9"/>
    <n v="5"/>
    <n v="3"/>
    <n v="0"/>
    <n v="40"/>
    <n v="186"/>
    <n v="79"/>
    <s v="2024/25"/>
  </r>
  <r>
    <x v="27"/>
    <n v="28"/>
    <x v="6"/>
    <x v="0"/>
    <s v="West Ham United"/>
    <x v="0"/>
    <n v="36"/>
    <n v="12"/>
    <n v="7"/>
    <n v="4"/>
    <n v="0"/>
    <n v="45"/>
    <n v="175"/>
    <n v="72"/>
    <s v="2024/25"/>
  </r>
  <r>
    <x v="28"/>
    <n v="28"/>
    <x v="6"/>
    <x v="0"/>
    <s v="Tottenham Hotspur"/>
    <x v="3"/>
    <n v="29"/>
    <n v="4"/>
    <n v="8"/>
    <n v="4"/>
    <n v="0"/>
    <n v="40"/>
    <n v="175"/>
    <n v="72"/>
    <s v="2024/25"/>
  </r>
  <r>
    <x v="29"/>
    <n v="26"/>
    <x v="6"/>
    <x v="0"/>
    <s v="Newcastle United"/>
    <x v="4"/>
    <n v="30"/>
    <n v="6"/>
    <n v="4"/>
    <n v="2"/>
    <n v="0"/>
    <n v="30"/>
    <n v="178"/>
    <n v="71"/>
    <s v="2024/25"/>
  </r>
  <r>
    <x v="30"/>
    <n v="23"/>
    <x v="7"/>
    <x v="0"/>
    <s v="Arsenal"/>
    <x v="4"/>
    <n v="30"/>
    <n v="6"/>
    <n v="7"/>
    <n v="3"/>
    <n v="0"/>
    <n v="70"/>
    <n v="175"/>
    <n v="75"/>
    <s v="2024/25"/>
  </r>
  <r>
    <x v="31"/>
    <n v="30"/>
    <x v="12"/>
    <x v="0"/>
    <s v="Arsenal"/>
    <x v="4"/>
    <n v="34"/>
    <n v="8"/>
    <n v="6"/>
    <n v="4"/>
    <n v="0"/>
    <n v="35"/>
    <n v="173"/>
    <n v="67"/>
    <s v="2024/25"/>
  </r>
  <r>
    <x v="32"/>
    <n v="27"/>
    <x v="7"/>
    <x v="0"/>
    <s v="Arsenal"/>
    <x v="5"/>
    <n v="33"/>
    <n v="5"/>
    <n v="1"/>
    <n v="5"/>
    <n v="0"/>
    <n v="65"/>
    <n v="191"/>
    <n v="86"/>
    <s v="2024/25"/>
  </r>
  <r>
    <x v="33"/>
    <n v="24"/>
    <x v="13"/>
    <x v="0"/>
    <s v="Arsenal"/>
    <x v="5"/>
    <n v="35"/>
    <n v="2"/>
    <n v="2"/>
    <n v="3"/>
    <n v="0"/>
    <n v="90"/>
    <n v="192"/>
    <n v="87"/>
    <s v="2024/25"/>
  </r>
  <r>
    <x v="34"/>
    <n v="25"/>
    <x v="13"/>
    <x v="0"/>
    <s v="Liverpool"/>
    <x v="5"/>
    <n v="29"/>
    <n v="3"/>
    <n v="0"/>
    <n v="3"/>
    <n v="0"/>
    <n v="65"/>
    <n v="194"/>
    <n v="91"/>
    <s v="2024/25"/>
  </r>
  <r>
    <x v="35"/>
    <n v="31"/>
    <x v="14"/>
    <x v="0"/>
    <s v="Liverpool"/>
    <x v="10"/>
    <n v="26"/>
    <n v="1"/>
    <n v="5"/>
    <n v="4"/>
    <n v="0"/>
    <n v="30"/>
    <n v="178"/>
    <n v="70"/>
    <s v="2024/25"/>
  </r>
  <r>
    <x v="36"/>
    <n v="25"/>
    <x v="6"/>
    <x v="0"/>
    <s v="Chelsea"/>
    <x v="7"/>
    <n v="18"/>
    <n v="1"/>
    <n v="4"/>
    <n v="2"/>
    <n v="0"/>
    <n v="55"/>
    <n v="180"/>
    <n v="76"/>
    <s v="2024/25"/>
  </r>
  <r>
    <x v="37"/>
    <n v="23"/>
    <x v="15"/>
    <x v="0"/>
    <s v="Chelsea"/>
    <x v="6"/>
    <n v="32"/>
    <n v="3"/>
    <n v="4"/>
    <n v="8"/>
    <n v="0"/>
    <n v="80"/>
    <n v="178"/>
    <n v="75"/>
    <s v="2024/25"/>
  </r>
  <r>
    <x v="38"/>
    <n v="24"/>
    <x v="16"/>
    <x v="0"/>
    <s v="Chelsea"/>
    <x v="9"/>
    <n v="27"/>
    <n v="3"/>
    <n v="5"/>
    <n v="5"/>
    <n v="0"/>
    <n v="65"/>
    <n v="178"/>
    <n v="77"/>
    <s v="2024/25"/>
  </r>
  <r>
    <x v="39"/>
    <n v="22"/>
    <x v="6"/>
    <x v="0"/>
    <s v="Chelsea"/>
    <x v="0"/>
    <n v="29"/>
    <n v="11"/>
    <n v="5"/>
    <n v="3"/>
    <n v="0"/>
    <n v="50"/>
    <n v="178"/>
    <n v="71"/>
    <s v="2024/25"/>
  </r>
  <r>
    <x v="40"/>
    <n v="29"/>
    <x v="6"/>
    <x v="0"/>
    <s v="Newcastle United"/>
    <x v="0"/>
    <n v="36"/>
    <n v="7"/>
    <n v="12"/>
    <n v="3"/>
    <n v="0"/>
    <n v="20"/>
    <n v="178"/>
    <n v="72"/>
    <s v="2024/25"/>
  </r>
  <r>
    <x v="41"/>
    <n v="22"/>
    <x v="1"/>
    <x v="0"/>
    <s v="Nottingham Forest"/>
    <x v="4"/>
    <n v="36"/>
    <n v="6"/>
    <n v="11"/>
    <n v="3"/>
    <n v="0"/>
    <n v="40"/>
    <n v="176"/>
    <n v="72"/>
    <s v="2024/25"/>
  </r>
  <r>
    <x v="42"/>
    <n v="22"/>
    <x v="6"/>
    <x v="0"/>
    <s v="Aston Villa"/>
    <x v="3"/>
    <n v="35"/>
    <n v="8"/>
    <n v="10"/>
    <n v="4"/>
    <n v="0"/>
    <n v="50"/>
    <n v="183"/>
    <n v="77"/>
    <s v="2024/25"/>
  </r>
  <r>
    <x v="43"/>
    <n v="27"/>
    <x v="17"/>
    <x v="0"/>
    <s v="Fulham"/>
    <x v="10"/>
    <n v="35"/>
    <n v="4"/>
    <n v="10"/>
    <n v="5"/>
    <n v="0"/>
    <n v="30"/>
    <n v="181"/>
    <n v="70"/>
    <s v="2024/25"/>
  </r>
  <r>
    <x v="44"/>
    <n v="24"/>
    <x v="18"/>
    <x v="0"/>
    <s v="Brentford"/>
    <x v="9"/>
    <n v="35"/>
    <n v="6"/>
    <n v="10"/>
    <n v="4"/>
    <n v="0"/>
    <n v="30"/>
    <n v="181"/>
    <n v="75"/>
    <s v="2024/25"/>
  </r>
  <r>
    <x v="45"/>
    <n v="27"/>
    <x v="13"/>
    <x v="0"/>
    <s v="Crystal Palace"/>
    <x v="1"/>
    <n v="35"/>
    <n v="14"/>
    <n v="4"/>
    <n v="3"/>
    <n v="0"/>
    <n v="30"/>
    <n v="188"/>
    <n v="83"/>
    <s v="2024/25"/>
  </r>
  <r>
    <x v="46"/>
    <n v="33"/>
    <x v="19"/>
    <x v="0"/>
    <s v="Fulham"/>
    <x v="1"/>
    <n v="29"/>
    <n v="10"/>
    <n v="6"/>
    <n v="2"/>
    <n v="0"/>
    <n v="12"/>
    <n v="190"/>
    <n v="85"/>
    <s v="2024/25"/>
  </r>
  <r>
    <x v="47"/>
    <n v="29"/>
    <x v="7"/>
    <x v="0"/>
    <s v="Fulham"/>
    <x v="3"/>
    <n v="34"/>
    <n v="5"/>
    <n v="8"/>
    <n v="5"/>
    <n v="0"/>
    <n v="22"/>
    <n v="178"/>
    <n v="72"/>
    <s v="2024/25"/>
  </r>
  <r>
    <x v="48"/>
    <n v="33"/>
    <x v="6"/>
    <x v="0"/>
    <s v="Newcastle United"/>
    <x v="1"/>
    <n v="15"/>
    <n v="5"/>
    <n v="2"/>
    <n v="1"/>
    <n v="0"/>
    <n v="8"/>
    <n v="183"/>
    <n v="79"/>
    <s v="2024/25"/>
  </r>
  <r>
    <x v="49"/>
    <n v="24"/>
    <x v="6"/>
    <x v="0"/>
    <s v="Fulham"/>
    <x v="3"/>
    <n v="32"/>
    <n v="8"/>
    <n v="4"/>
    <n v="3"/>
    <n v="0"/>
    <n v="35"/>
    <n v="178"/>
    <n v="70"/>
    <s v="2024/25"/>
  </r>
  <r>
    <x v="50"/>
    <n v="26"/>
    <x v="13"/>
    <x v="1"/>
    <s v="Real Madrid"/>
    <x v="1"/>
    <n v="34"/>
    <n v="31"/>
    <n v="9"/>
    <n v="5"/>
    <n v="1"/>
    <n v="180"/>
    <n v="178"/>
    <n v="73"/>
    <s v="2024/25"/>
  </r>
  <r>
    <x v="51"/>
    <n v="36"/>
    <x v="20"/>
    <x v="1"/>
    <s v="Barcelona"/>
    <x v="1"/>
    <n v="35"/>
    <n v="27"/>
    <n v="8"/>
    <n v="5"/>
    <n v="0"/>
    <n v="20"/>
    <n v="185"/>
    <n v="81"/>
    <s v="2024/25"/>
  </r>
  <r>
    <x v="52"/>
    <n v="24"/>
    <x v="7"/>
    <x v="1"/>
    <s v="Real Madrid"/>
    <x v="4"/>
    <n v="30"/>
    <n v="16"/>
    <n v="10"/>
    <n v="8"/>
    <n v="1"/>
    <n v="200"/>
    <n v="176"/>
    <n v="73"/>
    <s v="2024/25"/>
  </r>
  <r>
    <x v="53"/>
    <n v="28"/>
    <x v="7"/>
    <x v="1"/>
    <s v="Barcelona"/>
    <x v="0"/>
    <n v="36"/>
    <n v="18"/>
    <n v="13"/>
    <n v="7"/>
    <n v="0"/>
    <n v="100"/>
    <n v="176"/>
    <n v="70"/>
    <s v="2024/25"/>
  </r>
  <r>
    <x v="54"/>
    <n v="17"/>
    <x v="11"/>
    <x v="1"/>
    <s v="Barcelona"/>
    <x v="0"/>
    <n v="34"/>
    <n v="12"/>
    <n v="18"/>
    <n v="5"/>
    <n v="0"/>
    <n v="250"/>
    <n v="176"/>
    <n v="65"/>
    <s v="2024/25"/>
  </r>
  <r>
    <x v="55"/>
    <n v="22"/>
    <x v="11"/>
    <x v="1"/>
    <s v="Barcelona"/>
    <x v="9"/>
    <n v="31"/>
    <n v="8"/>
    <n v="10"/>
    <n v="6"/>
    <n v="0"/>
    <n v="180"/>
    <n v="174"/>
    <n v="60"/>
    <s v="2024/25"/>
  </r>
  <r>
    <x v="56"/>
    <n v="21"/>
    <x v="6"/>
    <x v="1"/>
    <s v="Real Madrid"/>
    <x v="3"/>
    <n v="32"/>
    <n v="16"/>
    <n v="10"/>
    <n v="7"/>
    <n v="0"/>
    <n v="200"/>
    <n v="186"/>
    <n v="83"/>
    <s v="2024/25"/>
  </r>
  <r>
    <x v="57"/>
    <n v="24"/>
    <x v="7"/>
    <x v="1"/>
    <s v="Real Madrid"/>
    <x v="0"/>
    <n v="36"/>
    <n v="12"/>
    <n v="9"/>
    <n v="3"/>
    <n v="0"/>
    <n v="120"/>
    <n v="174"/>
    <n v="68"/>
    <s v="2024/25"/>
  </r>
  <r>
    <x v="58"/>
    <n v="33"/>
    <x v="13"/>
    <x v="1"/>
    <s v="Atlético Madrid"/>
    <x v="2"/>
    <n v="37"/>
    <n v="14"/>
    <n v="12"/>
    <n v="5"/>
    <n v="0"/>
    <n v="25"/>
    <n v="176"/>
    <n v="73"/>
    <s v="2024/25"/>
  </r>
  <r>
    <x v="59"/>
    <n v="25"/>
    <x v="16"/>
    <x v="1"/>
    <s v="Atlético Madrid"/>
    <x v="1"/>
    <n v="37"/>
    <n v="19"/>
    <n v="12"/>
    <n v="4"/>
    <n v="0"/>
    <n v="120"/>
    <n v="170"/>
    <n v="72"/>
    <s v="2024/25"/>
  </r>
  <r>
    <x v="60"/>
    <n v="33"/>
    <x v="11"/>
    <x v="1"/>
    <s v="Real Madrid"/>
    <x v="7"/>
    <n v="15"/>
    <n v="1"/>
    <n v="2"/>
    <n v="3"/>
    <n v="0"/>
    <n v="20"/>
    <n v="173"/>
    <n v="73"/>
    <s v="2024/25"/>
  </r>
  <r>
    <x v="61"/>
    <n v="25"/>
    <x v="11"/>
    <x v="1"/>
    <s v="Barcelona"/>
    <x v="4"/>
    <n v="28"/>
    <n v="6"/>
    <n v="5"/>
    <n v="2"/>
    <n v="0"/>
    <n v="40"/>
    <n v="184"/>
    <n v="76"/>
    <s v="2024/25"/>
  </r>
  <r>
    <x v="62"/>
    <n v="32"/>
    <x v="21"/>
    <x v="1"/>
    <s v="Barcelona"/>
    <x v="8"/>
    <n v="2"/>
    <n v="0"/>
    <n v="0"/>
    <n v="0"/>
    <n v="0"/>
    <n v="20"/>
    <n v="187"/>
    <n v="85"/>
    <s v="2024/25"/>
  </r>
  <r>
    <x v="63"/>
    <n v="35"/>
    <x v="20"/>
    <x v="1"/>
    <s v="Barcelona"/>
    <x v="8"/>
    <n v="32"/>
    <n v="0"/>
    <n v="0"/>
    <n v="1"/>
    <n v="0"/>
    <n v="5"/>
    <n v="196"/>
    <n v="88"/>
    <s v="2024/25"/>
  </r>
  <r>
    <x v="64"/>
    <n v="33"/>
    <x v="12"/>
    <x v="1"/>
    <s v="Real Madrid"/>
    <x v="8"/>
    <n v="30"/>
    <n v="0"/>
    <n v="0"/>
    <n v="1"/>
    <n v="0"/>
    <n v="35"/>
    <n v="199"/>
    <n v="96"/>
    <s v="2024/25"/>
  </r>
  <r>
    <x v="65"/>
    <n v="32"/>
    <x v="22"/>
    <x v="1"/>
    <s v="Atlético Madrid"/>
    <x v="8"/>
    <n v="36"/>
    <n v="0"/>
    <n v="0"/>
    <n v="2"/>
    <n v="0"/>
    <n v="25"/>
    <n v="188"/>
    <n v="87"/>
    <s v="2024/25"/>
  </r>
  <r>
    <x v="66"/>
    <n v="30"/>
    <x v="11"/>
    <x v="1"/>
    <s v="Real Madrid"/>
    <x v="5"/>
    <n v="17"/>
    <n v="0"/>
    <n v="1"/>
    <n v="2"/>
    <n v="0"/>
    <n v="20"/>
    <n v="189"/>
    <n v="86"/>
    <s v="2024/25"/>
  </r>
  <r>
    <x v="67"/>
    <n v="26"/>
    <x v="23"/>
    <x v="1"/>
    <s v="Barcelona"/>
    <x v="5"/>
    <n v="14"/>
    <n v="0"/>
    <n v="0"/>
    <n v="3"/>
    <n v="0"/>
    <n v="65"/>
    <n v="188"/>
    <n v="85"/>
    <s v="2024/25"/>
  </r>
  <r>
    <x v="68"/>
    <n v="17"/>
    <x v="11"/>
    <x v="1"/>
    <s v="Barcelona"/>
    <x v="5"/>
    <n v="28"/>
    <n v="1"/>
    <n v="2"/>
    <n v="3"/>
    <n v="0"/>
    <n v="80"/>
    <n v="185"/>
    <n v="77"/>
    <s v="2024/25"/>
  </r>
  <r>
    <x v="69"/>
    <n v="33"/>
    <x v="11"/>
    <x v="1"/>
    <s v="Real Madrid"/>
    <x v="7"/>
    <n v="28"/>
    <n v="1"/>
    <n v="3"/>
    <n v="3"/>
    <n v="0"/>
    <n v="8"/>
    <n v="173"/>
    <n v="68"/>
    <s v="2024/25"/>
  </r>
  <r>
    <x v="70"/>
    <n v="29"/>
    <x v="13"/>
    <x v="1"/>
    <s v="Real Madrid"/>
    <x v="10"/>
    <n v="28"/>
    <n v="1"/>
    <n v="2"/>
    <n v="4"/>
    <n v="0"/>
    <n v="30"/>
    <n v="180"/>
    <n v="76"/>
    <s v="2024/25"/>
  </r>
  <r>
    <x v="71"/>
    <n v="26"/>
    <x v="23"/>
    <x v="1"/>
    <s v="Real Madrid"/>
    <x v="9"/>
    <n v="35"/>
    <n v="9"/>
    <n v="7"/>
    <n v="8"/>
    <n v="0"/>
    <n v="120"/>
    <n v="182"/>
    <n v="78"/>
    <s v="2024/25"/>
  </r>
  <r>
    <x v="72"/>
    <n v="39"/>
    <x v="24"/>
    <x v="1"/>
    <s v="Real Madrid"/>
    <x v="9"/>
    <n v="25"/>
    <n v="2"/>
    <n v="4"/>
    <n v="2"/>
    <n v="0"/>
    <n v="8"/>
    <n v="172"/>
    <n v="66"/>
    <s v="2024/25"/>
  </r>
  <r>
    <x v="73"/>
    <n v="34"/>
    <x v="21"/>
    <x v="1"/>
    <s v="Real Madrid"/>
    <x v="9"/>
    <n v="30"/>
    <n v="3"/>
    <n v="9"/>
    <n v="5"/>
    <n v="0"/>
    <n v="15"/>
    <n v="183"/>
    <n v="78"/>
    <s v="2024/25"/>
  </r>
  <r>
    <x v="74"/>
    <n v="20"/>
    <x v="11"/>
    <x v="1"/>
    <s v="Barcelona"/>
    <x v="9"/>
    <n v="12"/>
    <n v="1"/>
    <n v="3"/>
    <n v="4"/>
    <n v="0"/>
    <n v="120"/>
    <n v="173"/>
    <n v="60"/>
    <s v="2024/25"/>
  </r>
  <r>
    <x v="75"/>
    <n v="26"/>
    <x v="11"/>
    <x v="1"/>
    <s v="Barcelona"/>
    <x v="3"/>
    <n v="19"/>
    <n v="5"/>
    <n v="5"/>
    <n v="3"/>
    <n v="0"/>
    <n v="70"/>
    <n v="180"/>
    <n v="74"/>
    <s v="2024/25"/>
  </r>
  <r>
    <x v="76"/>
    <n v="32"/>
    <x v="11"/>
    <x v="1"/>
    <s v="Atlético Madrid"/>
    <x v="1"/>
    <n v="27"/>
    <n v="9"/>
    <n v="5"/>
    <n v="4"/>
    <n v="0"/>
    <n v="12"/>
    <n v="187"/>
    <n v="81"/>
    <s v="2024/25"/>
  </r>
  <r>
    <x v="77"/>
    <n v="25"/>
    <x v="25"/>
    <x v="1"/>
    <s v="Athletic Bilbao"/>
    <x v="0"/>
    <n v="30"/>
    <n v="8"/>
    <n v="6"/>
    <n v="3"/>
    <n v="0"/>
    <n v="25"/>
    <n v="181"/>
    <n v="78"/>
    <s v="2024/25"/>
  </r>
  <r>
    <x v="78"/>
    <n v="22"/>
    <x v="11"/>
    <x v="1"/>
    <s v="Athletic Bilbao"/>
    <x v="4"/>
    <n v="33"/>
    <n v="10"/>
    <n v="9"/>
    <n v="4"/>
    <n v="0"/>
    <n v="90"/>
    <n v="182"/>
    <n v="73"/>
    <s v="2024/25"/>
  </r>
  <r>
    <x v="79"/>
    <n v="27"/>
    <x v="11"/>
    <x v="1"/>
    <s v="Real Sociedad"/>
    <x v="1"/>
    <n v="30"/>
    <n v="10"/>
    <n v="7"/>
    <n v="3"/>
    <n v="0"/>
    <n v="45"/>
    <n v="179"/>
    <n v="75"/>
    <s v="2024/25"/>
  </r>
  <r>
    <x v="80"/>
    <n v="29"/>
    <x v="2"/>
    <x v="1"/>
    <s v="Atlético Madrid"/>
    <x v="1"/>
    <n v="23"/>
    <n v="6"/>
    <n v="3"/>
    <n v="2"/>
    <n v="0"/>
    <n v="30"/>
    <n v="195"/>
    <n v="88"/>
    <s v="2024/25"/>
  </r>
  <r>
    <x v="81"/>
    <n v="27"/>
    <x v="26"/>
    <x v="1"/>
    <s v="AS Roma"/>
    <x v="1"/>
    <n v="5"/>
    <n v="1"/>
    <n v="0"/>
    <n v="1"/>
    <n v="0"/>
    <n v="35"/>
    <n v="190"/>
    <n v="84"/>
    <s v="2024/25"/>
  </r>
  <r>
    <x v="82"/>
    <n v="37"/>
    <x v="11"/>
    <x v="1"/>
    <s v="Celta Vigo"/>
    <x v="2"/>
    <n v="34"/>
    <n v="11"/>
    <n v="9"/>
    <n v="6"/>
    <n v="1"/>
    <n v="5"/>
    <n v="176"/>
    <n v="71"/>
    <s v="2024/25"/>
  </r>
  <r>
    <x v="83"/>
    <n v="27"/>
    <x v="11"/>
    <x v="1"/>
    <s v="Real Sociedad"/>
    <x v="9"/>
    <n v="34"/>
    <n v="7"/>
    <n v="7"/>
    <n v="5"/>
    <n v="0"/>
    <n v="35"/>
    <n v="181"/>
    <n v="77"/>
    <s v="2024/25"/>
  </r>
  <r>
    <x v="84"/>
    <n v="24"/>
    <x v="11"/>
    <x v="1"/>
    <s v="Athletic Bilbao"/>
    <x v="5"/>
    <n v="34"/>
    <n v="3"/>
    <n v="1"/>
    <n v="4"/>
    <n v="0"/>
    <n v="35"/>
    <n v="188"/>
    <n v="82"/>
    <s v="2024/25"/>
  </r>
  <r>
    <x v="85"/>
    <n v="27"/>
    <x v="11"/>
    <x v="1"/>
    <s v="Athletic Bilbao"/>
    <x v="8"/>
    <n v="36"/>
    <n v="0"/>
    <n v="0"/>
    <n v="2"/>
    <n v="0"/>
    <n v="40"/>
    <n v="189"/>
    <n v="84"/>
    <s v="2024/25"/>
  </r>
  <r>
    <x v="86"/>
    <n v="29"/>
    <x v="11"/>
    <x v="1"/>
    <s v="Bayer Leverkusen"/>
    <x v="10"/>
    <n v="4"/>
    <n v="0"/>
    <n v="1"/>
    <n v="0"/>
    <n v="0"/>
    <n v="40"/>
    <n v="168"/>
    <n v="64"/>
    <s v="2024/25"/>
  </r>
  <r>
    <x v="87"/>
    <n v="30"/>
    <x v="11"/>
    <x v="1"/>
    <s v="Atlético Madrid"/>
    <x v="9"/>
    <n v="33"/>
    <n v="6"/>
    <n v="8"/>
    <n v="7"/>
    <n v="0"/>
    <n v="35"/>
    <n v="184"/>
    <n v="78"/>
    <s v="2024/25"/>
  </r>
  <r>
    <x v="88"/>
    <n v="33"/>
    <x v="13"/>
    <x v="1"/>
    <s v="Atlético Madrid"/>
    <x v="2"/>
    <n v="10"/>
    <n v="3"/>
    <n v="2"/>
    <n v="1"/>
    <n v="0"/>
    <n v="25"/>
    <n v="176"/>
    <n v="73"/>
    <s v="2024/25"/>
  </r>
  <r>
    <x v="89"/>
    <n v="29"/>
    <x v="11"/>
    <x v="1"/>
    <s v="Atlético Madrid"/>
    <x v="5"/>
    <n v="5"/>
    <n v="0"/>
    <n v="0"/>
    <n v="1"/>
    <n v="0"/>
    <n v="25"/>
    <n v="186"/>
    <n v="80"/>
    <s v="2024/25"/>
  </r>
  <r>
    <x v="90"/>
    <n v="24"/>
    <x v="27"/>
    <x v="1"/>
    <s v="Valencia"/>
    <x v="8"/>
    <n v="36"/>
    <n v="0"/>
    <n v="0"/>
    <n v="2"/>
    <n v="0"/>
    <n v="35"/>
    <n v="198"/>
    <n v="94"/>
    <s v="2024/25"/>
  </r>
  <r>
    <x v="91"/>
    <n v="32"/>
    <x v="11"/>
    <x v="1"/>
    <s v="Barcelona"/>
    <x v="7"/>
    <n v="12"/>
    <n v="0"/>
    <n v="1"/>
    <n v="1"/>
    <n v="0"/>
    <n v="3"/>
    <n v="170"/>
    <n v="67"/>
    <s v="2024/25"/>
  </r>
  <r>
    <x v="92"/>
    <n v="27"/>
    <x v="7"/>
    <x v="1"/>
    <s v="Real Madrid"/>
    <x v="5"/>
    <n v="6"/>
    <n v="0"/>
    <n v="0"/>
    <n v="1"/>
    <n v="0"/>
    <n v="65"/>
    <n v="186"/>
    <n v="78"/>
    <s v="2024/25"/>
  </r>
  <r>
    <x v="93"/>
    <n v="32"/>
    <x v="28"/>
    <x v="1"/>
    <s v="Real Madrid"/>
    <x v="5"/>
    <n v="0"/>
    <n v="0"/>
    <n v="0"/>
    <n v="0"/>
    <n v="0"/>
    <n v="15"/>
    <n v="180"/>
    <n v="78"/>
    <s v="2024/25"/>
  </r>
  <r>
    <x v="94"/>
    <n v="34"/>
    <x v="11"/>
    <x v="1"/>
    <s v="Real Madrid"/>
    <x v="1"/>
    <n v="26"/>
    <n v="5"/>
    <n v="3"/>
    <n v="1"/>
    <n v="0"/>
    <n v="5"/>
    <n v="191"/>
    <n v="87"/>
    <s v="2024/25"/>
  </r>
  <r>
    <x v="95"/>
    <n v="30"/>
    <x v="11"/>
    <x v="1"/>
    <s v="Real Betis"/>
    <x v="9"/>
    <n v="31"/>
    <n v="5"/>
    <n v="6"/>
    <n v="8"/>
    <n v="0"/>
    <n v="12"/>
    <n v="181"/>
    <n v="76"/>
    <s v="2024/25"/>
  </r>
  <r>
    <x v="96"/>
    <n v="31"/>
    <x v="11"/>
    <x v="1"/>
    <s v="Real Betis"/>
    <x v="2"/>
    <n v="35"/>
    <n v="9"/>
    <n v="7"/>
    <n v="4"/>
    <n v="0"/>
    <n v="8"/>
    <n v="178"/>
    <n v="71"/>
    <s v="2024/25"/>
  </r>
  <r>
    <x v="97"/>
    <n v="28"/>
    <x v="16"/>
    <x v="1"/>
    <s v="Real Betis"/>
    <x v="9"/>
    <n v="24"/>
    <n v="3"/>
    <n v="4"/>
    <n v="5"/>
    <n v="0"/>
    <n v="18"/>
    <n v="177"/>
    <n v="72"/>
    <s v="2024/25"/>
  </r>
  <r>
    <x v="98"/>
    <n v="31"/>
    <x v="11"/>
    <x v="1"/>
    <s v="Real Betis"/>
    <x v="1"/>
    <n v="26"/>
    <n v="6"/>
    <n v="3"/>
    <n v="2"/>
    <n v="0"/>
    <n v="8"/>
    <n v="191"/>
    <n v="87"/>
    <s v="2024/25"/>
  </r>
  <r>
    <x v="99"/>
    <n v="31"/>
    <x v="6"/>
    <x v="2"/>
    <s v="Bayern Munich"/>
    <x v="1"/>
    <n v="34"/>
    <n v="26"/>
    <n v="12"/>
    <n v="5"/>
    <n v="0"/>
    <n v="90"/>
    <n v="188"/>
    <n v="86"/>
    <s v="2024/25"/>
  </r>
  <r>
    <x v="100"/>
    <n v="21"/>
    <x v="21"/>
    <x v="2"/>
    <s v="Bayer Leverkusen"/>
    <x v="3"/>
    <n v="34"/>
    <n v="18"/>
    <n v="20"/>
    <n v="4"/>
    <n v="0"/>
    <n v="150"/>
    <n v="180"/>
    <n v="70"/>
    <s v="2024/25"/>
  </r>
  <r>
    <x v="101"/>
    <n v="26"/>
    <x v="0"/>
    <x v="2"/>
    <s v="Eintracht Frankfurt"/>
    <x v="1"/>
    <n v="18"/>
    <n v="15"/>
    <n v="8"/>
    <n v="3"/>
    <n v="0"/>
    <n v="65"/>
    <n v="180"/>
    <n v="78"/>
    <s v="2024/25"/>
  </r>
  <r>
    <x v="102"/>
    <n v="32"/>
    <x v="29"/>
    <x v="2"/>
    <s v="Bayer Leverkusen"/>
    <x v="6"/>
    <n v="33"/>
    <n v="6"/>
    <n v="9"/>
    <n v="9"/>
    <n v="1"/>
    <n v="20"/>
    <n v="185"/>
    <n v="80"/>
    <s v="2024/25"/>
  </r>
  <r>
    <x v="103"/>
    <n v="24"/>
    <x v="30"/>
    <x v="2"/>
    <s v="Bayer Leverkusen"/>
    <x v="1"/>
    <n v="24"/>
    <n v="14"/>
    <n v="6"/>
    <n v="5"/>
    <n v="0"/>
    <n v="55"/>
    <n v="190"/>
    <n v="82"/>
    <s v="2024/25"/>
  </r>
  <r>
    <x v="104"/>
    <n v="21"/>
    <x v="21"/>
    <x v="2"/>
    <s v="Bayern Munich"/>
    <x v="3"/>
    <n v="32"/>
    <n v="15"/>
    <n v="13"/>
    <n v="3"/>
    <n v="0"/>
    <n v="150"/>
    <n v="183"/>
    <n v="73"/>
    <s v="2024/25"/>
  </r>
  <r>
    <x v="105"/>
    <n v="29"/>
    <x v="21"/>
    <x v="2"/>
    <s v="Bayern Munich"/>
    <x v="0"/>
    <n v="25"/>
    <n v="7"/>
    <n v="7"/>
    <n v="4"/>
    <n v="0"/>
    <n v="45"/>
    <n v="183"/>
    <n v="75"/>
    <s v="2024/25"/>
  </r>
  <r>
    <x v="106"/>
    <n v="29"/>
    <x v="13"/>
    <x v="2"/>
    <s v="Bayern Munich"/>
    <x v="4"/>
    <n v="22"/>
    <n v="5"/>
    <n v="5"/>
    <n v="2"/>
    <n v="0"/>
    <n v="30"/>
    <n v="180"/>
    <n v="75"/>
    <s v="2024/25"/>
  </r>
  <r>
    <x v="107"/>
    <n v="39"/>
    <x v="21"/>
    <x v="2"/>
    <s v="Bayern Munich"/>
    <x v="8"/>
    <n v="27"/>
    <n v="0"/>
    <n v="0"/>
    <n v="1"/>
    <n v="0"/>
    <n v="10"/>
    <n v="193"/>
    <n v="92"/>
    <s v="2024/25"/>
  </r>
  <r>
    <x v="108"/>
    <n v="30"/>
    <x v="21"/>
    <x v="2"/>
    <s v="Bayern Munich"/>
    <x v="6"/>
    <n v="32"/>
    <n v="3"/>
    <n v="10"/>
    <n v="9"/>
    <n v="0"/>
    <n v="60"/>
    <n v="177"/>
    <n v="75"/>
    <s v="2024/25"/>
  </r>
  <r>
    <x v="109"/>
    <n v="35"/>
    <x v="21"/>
    <x v="2"/>
    <s v="Bayern Munich"/>
    <x v="2"/>
    <n v="27"/>
    <n v="2"/>
    <n v="6"/>
    <n v="2"/>
    <n v="0"/>
    <n v="8"/>
    <n v="186"/>
    <n v="75"/>
    <s v="2024/25"/>
  </r>
  <r>
    <x v="110"/>
    <n v="29"/>
    <x v="21"/>
    <x v="2"/>
    <s v="Bayern Munich"/>
    <x v="0"/>
    <n v="22"/>
    <n v="6"/>
    <n v="4"/>
    <n v="1"/>
    <n v="0"/>
    <n v="25"/>
    <n v="175"/>
    <n v="76"/>
    <s v="2024/25"/>
  </r>
  <r>
    <x v="111"/>
    <n v="24"/>
    <x v="31"/>
    <x v="2"/>
    <s v="Bayern Munich"/>
    <x v="10"/>
    <n v="27"/>
    <n v="1"/>
    <n v="7"/>
    <n v="4"/>
    <n v="0"/>
    <n v="65"/>
    <n v="183"/>
    <n v="76"/>
    <s v="2024/25"/>
  </r>
  <r>
    <x v="112"/>
    <n v="26"/>
    <x v="13"/>
    <x v="2"/>
    <s v="Bayern Munich"/>
    <x v="5"/>
    <n v="29"/>
    <n v="1"/>
    <n v="1"/>
    <n v="7"/>
    <n v="0"/>
    <n v="45"/>
    <n v="186"/>
    <n v="82"/>
    <s v="2024/25"/>
  </r>
  <r>
    <x v="113"/>
    <n v="28"/>
    <x v="9"/>
    <x v="2"/>
    <s v="Bayern Munich"/>
    <x v="5"/>
    <n v="30"/>
    <n v="2"/>
    <n v="1"/>
    <n v="5"/>
    <n v="0"/>
    <n v="55"/>
    <n v="190"/>
    <n v="87"/>
    <s v="2024/25"/>
  </r>
  <r>
    <x v="114"/>
    <n v="27"/>
    <x v="28"/>
    <x v="2"/>
    <s v="Bayern Munich"/>
    <x v="9"/>
    <n v="31"/>
    <n v="3"/>
    <n v="5"/>
    <n v="7"/>
    <n v="0"/>
    <n v="30"/>
    <n v="174"/>
    <n v="72"/>
    <s v="2024/25"/>
  </r>
  <r>
    <x v="115"/>
    <n v="30"/>
    <x v="8"/>
    <x v="2"/>
    <s v="Bayern Munich"/>
    <x v="10"/>
    <n v="20"/>
    <n v="2"/>
    <n v="4"/>
    <n v="2"/>
    <n v="0"/>
    <n v="20"/>
    <n v="170"/>
    <n v="64"/>
    <s v="2024/25"/>
  </r>
  <r>
    <x v="116"/>
    <n v="27"/>
    <x v="32"/>
    <x v="2"/>
    <s v="Bayern Munich"/>
    <x v="7"/>
    <n v="16"/>
    <n v="1"/>
    <n v="2"/>
    <n v="3"/>
    <n v="0"/>
    <n v="30"/>
    <n v="181"/>
    <n v="77"/>
    <s v="2024/25"/>
  </r>
  <r>
    <x v="117"/>
    <n v="28"/>
    <x v="33"/>
    <x v="2"/>
    <s v="Borussia Dortmund"/>
    <x v="1"/>
    <n v="27"/>
    <n v="15"/>
    <n v="5"/>
    <n v="3"/>
    <n v="0"/>
    <n v="45"/>
    <n v="187"/>
    <n v="83"/>
    <s v="2024/25"/>
  </r>
  <r>
    <x v="118"/>
    <n v="23"/>
    <x v="21"/>
    <x v="2"/>
    <s v="Borussia Dortmund"/>
    <x v="4"/>
    <n v="26"/>
    <n v="8"/>
    <n v="6"/>
    <n v="4"/>
    <n v="0"/>
    <n v="40"/>
    <n v="180"/>
    <n v="72"/>
    <s v="2024/25"/>
  </r>
  <r>
    <x v="119"/>
    <n v="28"/>
    <x v="21"/>
    <x v="2"/>
    <s v="Borussia Dortmund"/>
    <x v="3"/>
    <n v="31"/>
    <n v="7"/>
    <n v="10"/>
    <n v="3"/>
    <n v="0"/>
    <n v="30"/>
    <n v="185"/>
    <n v="79"/>
    <s v="2024/25"/>
  </r>
  <r>
    <x v="120"/>
    <n v="31"/>
    <x v="21"/>
    <x v="2"/>
    <s v="Borussia Dortmund"/>
    <x v="6"/>
    <n v="31"/>
    <n v="4"/>
    <n v="3"/>
    <n v="9"/>
    <n v="1"/>
    <n v="10"/>
    <n v="186"/>
    <n v="82"/>
    <s v="2024/25"/>
  </r>
  <r>
    <x v="121"/>
    <n v="31"/>
    <x v="28"/>
    <x v="2"/>
    <s v="Borussia Dortmund"/>
    <x v="9"/>
    <n v="29"/>
    <n v="5"/>
    <n v="6"/>
    <n v="6"/>
    <n v="0"/>
    <n v="18"/>
    <n v="177"/>
    <n v="73"/>
    <s v="2024/25"/>
  </r>
  <r>
    <x v="122"/>
    <n v="27"/>
    <x v="29"/>
    <x v="2"/>
    <s v="Borussia Dortmund"/>
    <x v="8"/>
    <n v="32"/>
    <n v="0"/>
    <n v="0"/>
    <n v="2"/>
    <n v="0"/>
    <n v="30"/>
    <n v="194"/>
    <n v="90"/>
    <s v="2024/25"/>
  </r>
  <r>
    <x v="123"/>
    <n v="36"/>
    <x v="21"/>
    <x v="2"/>
    <s v="Borussia Dortmund"/>
    <x v="5"/>
    <n v="7"/>
    <n v="0"/>
    <n v="0"/>
    <n v="2"/>
    <n v="0"/>
    <n v="3"/>
    <n v="191"/>
    <n v="92"/>
    <s v="2024/25"/>
  </r>
  <r>
    <x v="124"/>
    <n v="25"/>
    <x v="21"/>
    <x v="2"/>
    <s v="Borussia Dortmund"/>
    <x v="5"/>
    <n v="26"/>
    <n v="2"/>
    <n v="1"/>
    <n v="7"/>
    <n v="0"/>
    <n v="35"/>
    <n v="192"/>
    <n v="83"/>
    <s v="2024/25"/>
  </r>
  <r>
    <x v="125"/>
    <n v="29"/>
    <x v="34"/>
    <x v="2"/>
    <s v="Borussia Dortmund"/>
    <x v="10"/>
    <n v="25"/>
    <n v="2"/>
    <n v="3"/>
    <n v="5"/>
    <n v="0"/>
    <n v="15"/>
    <n v="183"/>
    <n v="77"/>
    <s v="2024/25"/>
  </r>
  <r>
    <x v="86"/>
    <n v="29"/>
    <x v="11"/>
    <x v="2"/>
    <s v="Bayer Leverkusen"/>
    <x v="10"/>
    <n v="33"/>
    <n v="5"/>
    <n v="12"/>
    <n v="5"/>
    <n v="0"/>
    <n v="40"/>
    <n v="168"/>
    <n v="64"/>
    <s v="2024/25"/>
  </r>
  <r>
    <x v="126"/>
    <n v="32"/>
    <x v="21"/>
    <x v="2"/>
    <s v="Bayer Leverkusen"/>
    <x v="0"/>
    <n v="28"/>
    <n v="5"/>
    <n v="8"/>
    <n v="3"/>
    <n v="0"/>
    <n v="20"/>
    <n v="176"/>
    <n v="72"/>
    <s v="2024/25"/>
  </r>
  <r>
    <x v="127"/>
    <n v="35"/>
    <x v="35"/>
    <x v="2"/>
    <s v="Bayer Leverkusen"/>
    <x v="8"/>
    <n v="34"/>
    <n v="0"/>
    <n v="0"/>
    <n v="3"/>
    <n v="0"/>
    <n v="8"/>
    <n v="188"/>
    <n v="84"/>
    <s v="2024/25"/>
  </r>
  <r>
    <x v="128"/>
    <n v="29"/>
    <x v="36"/>
    <x v="2"/>
    <s v="Bayer Leverkusen"/>
    <x v="1"/>
    <n v="20"/>
    <n v="8"/>
    <n v="3"/>
    <n v="2"/>
    <n v="0"/>
    <n v="25"/>
    <n v="191"/>
    <n v="86"/>
    <s v="2024/25"/>
  </r>
  <r>
    <x v="129"/>
    <n v="26"/>
    <x v="16"/>
    <x v="2"/>
    <s v="Bayer Leverkusen"/>
    <x v="9"/>
    <n v="29"/>
    <n v="4"/>
    <n v="6"/>
    <n v="6"/>
    <n v="0"/>
    <n v="30"/>
    <n v="180"/>
    <n v="78"/>
    <s v="2024/25"/>
  </r>
  <r>
    <x v="130"/>
    <n v="28"/>
    <x v="21"/>
    <x v="2"/>
    <s v="Bayer Leverkusen"/>
    <x v="5"/>
    <n v="33"/>
    <n v="2"/>
    <n v="1"/>
    <n v="4"/>
    <n v="0"/>
    <n v="35"/>
    <n v="195"/>
    <n v="94"/>
    <s v="2024/25"/>
  </r>
  <r>
    <x v="131"/>
    <n v="30"/>
    <x v="21"/>
    <x v="2"/>
    <s v="Bayer Leverkusen"/>
    <x v="6"/>
    <n v="33"/>
    <n v="3"/>
    <n v="5"/>
    <n v="9"/>
    <n v="1"/>
    <n v="20"/>
    <n v="187"/>
    <n v="81"/>
    <s v="2024/25"/>
  </r>
  <r>
    <x v="132"/>
    <n v="43"/>
    <x v="11"/>
    <x v="2"/>
    <s v="Bayer Leverkusen"/>
    <x v="9"/>
    <n v="0"/>
    <n v="0"/>
    <n v="0"/>
    <n v="0"/>
    <n v="0"/>
    <n v="0"/>
    <n v="181"/>
    <n v="78"/>
    <s v="2024/25"/>
  </r>
  <r>
    <x v="133"/>
    <n v="27"/>
    <x v="13"/>
    <x v="2"/>
    <s v="RB Leipzig"/>
    <x v="2"/>
    <n v="10"/>
    <n v="3"/>
    <n v="2"/>
    <n v="1"/>
    <n v="0"/>
    <n v="40"/>
    <n v="175"/>
    <n v="73"/>
    <s v="2024/25"/>
  </r>
  <r>
    <x v="134"/>
    <n v="24"/>
    <x v="12"/>
    <x v="2"/>
    <s v="RB Leipzig"/>
    <x v="1"/>
    <n v="31"/>
    <n v="15"/>
    <n v="5"/>
    <n v="3"/>
    <n v="0"/>
    <n v="55"/>
    <n v="176"/>
    <n v="72"/>
    <s v="2024/25"/>
  </r>
  <r>
    <x v="135"/>
    <n v="22"/>
    <x v="10"/>
    <x v="2"/>
    <s v="RB Leipzig"/>
    <x v="3"/>
    <n v="34"/>
    <n v="10"/>
    <n v="12"/>
    <n v="5"/>
    <n v="0"/>
    <n v="100"/>
    <n v="173"/>
    <n v="67"/>
    <s v="2024/25"/>
  </r>
  <r>
    <x v="136"/>
    <n v="21"/>
    <x v="22"/>
    <x v="2"/>
    <s v="RB Leipzig"/>
    <x v="1"/>
    <n v="32"/>
    <n v="18"/>
    <n v="5"/>
    <n v="2"/>
    <n v="0"/>
    <n v="80"/>
    <n v="195"/>
    <n v="86"/>
    <s v="2024/25"/>
  </r>
  <r>
    <x v="137"/>
    <n v="34"/>
    <x v="37"/>
    <x v="2"/>
    <s v="RB Leipzig"/>
    <x v="8"/>
    <n v="28"/>
    <n v="0"/>
    <n v="0"/>
    <n v="1"/>
    <n v="0"/>
    <n v="8"/>
    <n v="190"/>
    <n v="83"/>
    <s v="2024/25"/>
  </r>
  <r>
    <x v="138"/>
    <n v="32"/>
    <x v="37"/>
    <x v="2"/>
    <s v="RB Leipzig"/>
    <x v="5"/>
    <n v="30"/>
    <n v="2"/>
    <n v="1"/>
    <n v="5"/>
    <n v="0"/>
    <n v="8"/>
    <n v="185"/>
    <n v="79"/>
    <s v="2024/25"/>
  </r>
  <r>
    <x v="139"/>
    <n v="33"/>
    <x v="22"/>
    <x v="2"/>
    <s v="RB Leipzig"/>
    <x v="9"/>
    <n v="26"/>
    <n v="1"/>
    <n v="4"/>
    <n v="6"/>
    <n v="0"/>
    <n v="6"/>
    <n v="179"/>
    <n v="75"/>
    <s v="2024/25"/>
  </r>
  <r>
    <x v="140"/>
    <n v="25"/>
    <x v="28"/>
    <x v="2"/>
    <s v="RB Leipzig"/>
    <x v="3"/>
    <n v="30"/>
    <n v="6"/>
    <n v="7"/>
    <n v="4"/>
    <n v="0"/>
    <n v="30"/>
    <n v="180"/>
    <n v="72"/>
    <s v="2024/25"/>
  </r>
  <r>
    <x v="141"/>
    <n v="23"/>
    <x v="28"/>
    <x v="2"/>
    <s v="RB Leipzig"/>
    <x v="6"/>
    <n v="27"/>
    <n v="2"/>
    <n v="3"/>
    <n v="7"/>
    <n v="0"/>
    <n v="25"/>
    <n v="181"/>
    <n v="78"/>
    <s v="2024/25"/>
  </r>
  <r>
    <x v="142"/>
    <n v="28"/>
    <x v="21"/>
    <x v="2"/>
    <s v="VfB Stuttgart"/>
    <x v="1"/>
    <n v="32"/>
    <n v="18"/>
    <n v="8"/>
    <n v="5"/>
    <n v="0"/>
    <n v="35"/>
    <n v="179"/>
    <n v="74"/>
    <s v="2024/25"/>
  </r>
  <r>
    <x v="143"/>
    <n v="26"/>
    <x v="21"/>
    <x v="2"/>
    <s v="VfB Stuttgart"/>
    <x v="4"/>
    <n v="34"/>
    <n v="9"/>
    <n v="9"/>
    <n v="5"/>
    <n v="0"/>
    <n v="25"/>
    <n v="180"/>
    <n v="76"/>
    <s v="2024/25"/>
  </r>
  <r>
    <x v="144"/>
    <n v="23"/>
    <x v="13"/>
    <x v="2"/>
    <s v="VfB Stuttgart"/>
    <x v="9"/>
    <n v="31"/>
    <n v="8"/>
    <n v="9"/>
    <n v="4"/>
    <n v="0"/>
    <n v="30"/>
    <n v="183"/>
    <n v="78"/>
    <s v="2024/25"/>
  </r>
  <r>
    <x v="145"/>
    <n v="28"/>
    <x v="21"/>
    <x v="2"/>
    <s v="VfB Stuttgart"/>
    <x v="8"/>
    <n v="34"/>
    <n v="0"/>
    <n v="0"/>
    <n v="2"/>
    <n v="0"/>
    <n v="20"/>
    <n v="193"/>
    <n v="90"/>
    <s v="2024/25"/>
  </r>
  <r>
    <x v="146"/>
    <n v="25"/>
    <x v="38"/>
    <x v="3"/>
    <s v="Atalanta"/>
    <x v="1"/>
    <n v="37"/>
    <n v="25"/>
    <n v="9"/>
    <n v="5"/>
    <n v="0"/>
    <n v="45"/>
    <n v="184"/>
    <n v="82"/>
    <s v="2024/25"/>
  </r>
  <r>
    <x v="147"/>
    <n v="27"/>
    <x v="16"/>
    <x v="3"/>
    <s v="Inter Milan"/>
    <x v="1"/>
    <n v="33"/>
    <n v="16"/>
    <n v="6"/>
    <n v="5"/>
    <n v="0"/>
    <n v="110"/>
    <n v="174"/>
    <n v="72"/>
    <s v="2024/25"/>
  </r>
  <r>
    <x v="148"/>
    <n v="33"/>
    <x v="39"/>
    <x v="3"/>
    <s v="Torino"/>
    <x v="1"/>
    <n v="4"/>
    <n v="1"/>
    <n v="0"/>
    <n v="0"/>
    <n v="0"/>
    <n v="8"/>
    <n v="190"/>
    <n v="88"/>
    <s v="2024/25"/>
  </r>
  <r>
    <x v="149"/>
    <n v="27"/>
    <x v="30"/>
    <x v="3"/>
    <s v="Atalanta"/>
    <x v="4"/>
    <n v="36"/>
    <n v="13"/>
    <n v="13"/>
    <n v="5"/>
    <n v="0"/>
    <n v="60"/>
    <n v="175"/>
    <n v="70"/>
    <s v="2024/25"/>
  </r>
  <r>
    <x v="150"/>
    <n v="27"/>
    <x v="13"/>
    <x v="3"/>
    <s v="Inter Milan"/>
    <x v="1"/>
    <n v="35"/>
    <n v="15"/>
    <n v="12"/>
    <n v="4"/>
    <n v="0"/>
    <n v="70"/>
    <n v="192"/>
    <n v="85"/>
    <s v="2024/25"/>
  </r>
  <r>
    <x v="151"/>
    <n v="23"/>
    <x v="27"/>
    <x v="3"/>
    <s v="Napoli"/>
    <x v="4"/>
    <n v="17"/>
    <n v="7"/>
    <n v="5"/>
    <n v="3"/>
    <n v="0"/>
    <n v="90"/>
    <n v="183"/>
    <n v="75"/>
    <s v="2024/25"/>
  </r>
  <r>
    <x v="152"/>
    <n v="26"/>
    <x v="30"/>
    <x v="3"/>
    <s v="Napoli"/>
    <x v="1"/>
    <n v="0"/>
    <n v="0"/>
    <n v="0"/>
    <n v="0"/>
    <n v="0"/>
    <n v="75"/>
    <n v="185"/>
    <n v="78"/>
    <s v="2024/25"/>
  </r>
  <r>
    <x v="153"/>
    <n v="25"/>
    <x v="8"/>
    <x v="3"/>
    <s v="AC Milan"/>
    <x v="4"/>
    <n v="33"/>
    <n v="11"/>
    <n v="10"/>
    <n v="4"/>
    <n v="0"/>
    <n v="90"/>
    <n v="188"/>
    <n v="82"/>
    <s v="2024/25"/>
  </r>
  <r>
    <x v="154"/>
    <n v="27"/>
    <x v="13"/>
    <x v="3"/>
    <s v="AC Milan"/>
    <x v="10"/>
    <n v="30"/>
    <n v="5"/>
    <n v="9"/>
    <n v="6"/>
    <n v="0"/>
    <n v="65"/>
    <n v="184"/>
    <n v="83"/>
    <s v="2024/25"/>
  </r>
  <r>
    <x v="155"/>
    <n v="29"/>
    <x v="13"/>
    <x v="3"/>
    <s v="AC Milan"/>
    <x v="8"/>
    <n v="34"/>
    <n v="0"/>
    <n v="0"/>
    <n v="1"/>
    <n v="0"/>
    <n v="55"/>
    <n v="191"/>
    <n v="86"/>
    <s v="2024/25"/>
  </r>
  <r>
    <x v="156"/>
    <n v="31"/>
    <x v="16"/>
    <x v="3"/>
    <s v="AS Roma"/>
    <x v="2"/>
    <n v="27"/>
    <n v="9"/>
    <n v="7"/>
    <n v="3"/>
    <n v="0"/>
    <n v="18"/>
    <n v="177"/>
    <n v="75"/>
    <s v="2024/25"/>
  </r>
  <r>
    <x v="157"/>
    <n v="28"/>
    <x v="38"/>
    <x v="3"/>
    <s v="AS Roma"/>
    <x v="3"/>
    <n v="33"/>
    <n v="8"/>
    <n v="8"/>
    <n v="6"/>
    <n v="0"/>
    <n v="30"/>
    <n v="185"/>
    <n v="78"/>
    <s v="2024/25"/>
  </r>
  <r>
    <x v="158"/>
    <n v="27"/>
    <x v="38"/>
    <x v="3"/>
    <s v="Inter Milan"/>
    <x v="9"/>
    <n v="34"/>
    <n v="5"/>
    <n v="12"/>
    <n v="9"/>
    <n v="1"/>
    <n v="80"/>
    <n v="172"/>
    <n v="68"/>
    <s v="2024/25"/>
  </r>
  <r>
    <x v="159"/>
    <n v="31"/>
    <x v="40"/>
    <x v="3"/>
    <s v="Inter Milan"/>
    <x v="6"/>
    <n v="33"/>
    <n v="8"/>
    <n v="10"/>
    <n v="9"/>
    <n v="0"/>
    <n v="45"/>
    <n v="178"/>
    <n v="76"/>
    <s v="2024/25"/>
  </r>
  <r>
    <x v="160"/>
    <n v="27"/>
    <x v="38"/>
    <x v="3"/>
    <s v="Inter Milan"/>
    <x v="0"/>
    <n v="14"/>
    <n v="2"/>
    <n v="3"/>
    <n v="2"/>
    <n v="0"/>
    <n v="35"/>
    <n v="175"/>
    <n v="70"/>
    <s v="2024/25"/>
  </r>
  <r>
    <x v="161"/>
    <n v="48"/>
    <x v="38"/>
    <x v="3"/>
    <s v="Inter Milan"/>
    <x v="9"/>
    <n v="0"/>
    <n v="0"/>
    <n v="0"/>
    <n v="0"/>
    <n v="0"/>
    <n v="0"/>
    <n v="183"/>
    <n v="78"/>
    <s v="2024/25"/>
  </r>
  <r>
    <x v="162"/>
    <n v="25"/>
    <x v="38"/>
    <x v="3"/>
    <s v="Inter Milan"/>
    <x v="5"/>
    <n v="34"/>
    <n v="2"/>
    <n v="5"/>
    <n v="4"/>
    <n v="0"/>
    <n v="80"/>
    <n v="190"/>
    <n v="85"/>
    <s v="2024/25"/>
  </r>
  <r>
    <x v="163"/>
    <n v="37"/>
    <x v="38"/>
    <x v="3"/>
    <s v="Inter Milan"/>
    <x v="5"/>
    <n v="29"/>
    <n v="2"/>
    <n v="1"/>
    <n v="5"/>
    <n v="0"/>
    <n v="6"/>
    <n v="192"/>
    <n v="84"/>
    <s v="2024/25"/>
  </r>
  <r>
    <x v="164"/>
    <n v="36"/>
    <x v="29"/>
    <x v="3"/>
    <s v="Inter Milan"/>
    <x v="8"/>
    <n v="35"/>
    <n v="0"/>
    <n v="0"/>
    <n v="2"/>
    <n v="0"/>
    <n v="12"/>
    <n v="183"/>
    <n v="81"/>
    <s v="2024/25"/>
  </r>
  <r>
    <x v="165"/>
    <n v="28"/>
    <x v="10"/>
    <x v="3"/>
    <s v="Inter Milan"/>
    <x v="7"/>
    <n v="31"/>
    <n v="4"/>
    <n v="7"/>
    <n v="5"/>
    <n v="0"/>
    <n v="35"/>
    <n v="187"/>
    <n v="82"/>
    <s v="2024/25"/>
  </r>
  <r>
    <x v="166"/>
    <n v="27"/>
    <x v="38"/>
    <x v="3"/>
    <s v="Inter Milan"/>
    <x v="10"/>
    <n v="34"/>
    <n v="5"/>
    <n v="9"/>
    <n v="5"/>
    <n v="0"/>
    <n v="45"/>
    <n v="173"/>
    <n v="71"/>
    <s v="2024/25"/>
  </r>
  <r>
    <x v="167"/>
    <n v="25"/>
    <x v="41"/>
    <x v="3"/>
    <s v="Juventus"/>
    <x v="1"/>
    <n v="29"/>
    <n v="14"/>
    <n v="3"/>
    <n v="6"/>
    <n v="0"/>
    <n v="65"/>
    <n v="190"/>
    <n v="88"/>
    <s v="2024/25"/>
  </r>
  <r>
    <x v="168"/>
    <n v="27"/>
    <x v="38"/>
    <x v="3"/>
    <s v="Juventus"/>
    <x v="0"/>
    <n v="5"/>
    <n v="0"/>
    <n v="1"/>
    <n v="1"/>
    <n v="0"/>
    <n v="20"/>
    <n v="175"/>
    <n v="70"/>
    <s v="2024/25"/>
  </r>
  <r>
    <x v="169"/>
    <n v="29"/>
    <x v="13"/>
    <x v="3"/>
    <s v="Juventus"/>
    <x v="9"/>
    <n v="32"/>
    <n v="5"/>
    <n v="6"/>
    <n v="7"/>
    <n v="0"/>
    <n v="20"/>
    <n v="188"/>
    <n v="82"/>
    <s v="2024/25"/>
  </r>
  <r>
    <x v="170"/>
    <n v="27"/>
    <x v="7"/>
    <x v="3"/>
    <s v="Juventus"/>
    <x v="5"/>
    <n v="5"/>
    <n v="0"/>
    <n v="0"/>
    <n v="1"/>
    <n v="0"/>
    <n v="40"/>
    <n v="188"/>
    <n v="83"/>
    <s v="2024/25"/>
  </r>
  <r>
    <x v="63"/>
    <n v="35"/>
    <x v="20"/>
    <x v="3"/>
    <s v="Juventus"/>
    <x v="8"/>
    <n v="5"/>
    <n v="0"/>
    <n v="0"/>
    <n v="0"/>
    <n v="0"/>
    <n v="3"/>
    <n v="196"/>
    <n v="88"/>
    <s v="2024/25"/>
  </r>
  <r>
    <x v="171"/>
    <n v="40"/>
    <x v="38"/>
    <x v="3"/>
    <s v="Juventus"/>
    <x v="5"/>
    <n v="0"/>
    <n v="0"/>
    <n v="0"/>
    <n v="0"/>
    <n v="0"/>
    <n v="0"/>
    <n v="187"/>
    <n v="86"/>
    <s v="2024/25"/>
  </r>
  <r>
    <x v="172"/>
    <n v="27"/>
    <x v="38"/>
    <x v="3"/>
    <s v="Juventus"/>
    <x v="6"/>
    <n v="32"/>
    <n v="3"/>
    <n v="5"/>
    <n v="8"/>
    <n v="0"/>
    <n v="25"/>
    <n v="185"/>
    <n v="79"/>
    <s v="2024/25"/>
  </r>
  <r>
    <x v="173"/>
    <n v="19"/>
    <x v="40"/>
    <x v="3"/>
    <s v="Juventus"/>
    <x v="3"/>
    <n v="34"/>
    <n v="10"/>
    <n v="7"/>
    <n v="5"/>
    <n v="0"/>
    <n v="50"/>
    <n v="186"/>
    <n v="74"/>
    <s v="2024/25"/>
  </r>
  <r>
    <x v="174"/>
    <n v="24"/>
    <x v="17"/>
    <x v="3"/>
    <s v="Juventus"/>
    <x v="0"/>
    <n v="28"/>
    <n v="4"/>
    <n v="6"/>
    <n v="4"/>
    <n v="0"/>
    <n v="25"/>
    <n v="181"/>
    <n v="77"/>
    <s v="2024/25"/>
  </r>
  <r>
    <x v="175"/>
    <n v="26"/>
    <x v="38"/>
    <x v="3"/>
    <s v="Atalanta"/>
    <x v="1"/>
    <n v="13"/>
    <n v="4"/>
    <n v="1"/>
    <n v="2"/>
    <n v="0"/>
    <n v="35"/>
    <n v="195"/>
    <n v="90"/>
    <s v="2024/25"/>
  </r>
  <r>
    <x v="176"/>
    <n v="21"/>
    <x v="38"/>
    <x v="3"/>
    <s v="Atalanta"/>
    <x v="5"/>
    <n v="22"/>
    <n v="2"/>
    <n v="2"/>
    <n v="3"/>
    <n v="0"/>
    <n v="45"/>
    <n v="194"/>
    <n v="86"/>
    <s v="2024/25"/>
  </r>
  <r>
    <x v="177"/>
    <n v="26"/>
    <x v="10"/>
    <x v="3"/>
    <s v="Atalanta"/>
    <x v="9"/>
    <n v="33"/>
    <n v="10"/>
    <n v="8"/>
    <n v="6"/>
    <n v="0"/>
    <n v="55"/>
    <n v="180"/>
    <n v="76"/>
    <s v="2024/25"/>
  </r>
  <r>
    <x v="178"/>
    <n v="29"/>
    <x v="24"/>
    <x v="3"/>
    <s v="Atalanta"/>
    <x v="9"/>
    <n v="36"/>
    <n v="8"/>
    <n v="7"/>
    <n v="4"/>
    <n v="0"/>
    <n v="20"/>
    <n v="188"/>
    <n v="82"/>
    <s v="2024/25"/>
  </r>
  <r>
    <x v="179"/>
    <n v="30"/>
    <x v="16"/>
    <x v="3"/>
    <s v="Atalanta"/>
    <x v="8"/>
    <n v="25"/>
    <n v="0"/>
    <n v="0"/>
    <n v="1"/>
    <n v="0"/>
    <n v="15"/>
    <n v="192"/>
    <n v="86"/>
    <s v="2024/25"/>
  </r>
  <r>
    <x v="180"/>
    <n v="27"/>
    <x v="6"/>
    <x v="3"/>
    <s v="AS Roma"/>
    <x v="1"/>
    <n v="10"/>
    <n v="2"/>
    <n v="1"/>
    <n v="1"/>
    <n v="0"/>
    <n v="25"/>
    <n v="190"/>
    <n v="85"/>
    <s v="2024/25"/>
  </r>
  <r>
    <x v="181"/>
    <n v="32"/>
    <x v="38"/>
    <x v="3"/>
    <s v="AS Roma"/>
    <x v="4"/>
    <n v="31"/>
    <n v="9"/>
    <n v="4"/>
    <n v="2"/>
    <n v="0"/>
    <n v="8"/>
    <n v="178"/>
    <n v="72"/>
    <s v="2024/25"/>
  </r>
  <r>
    <x v="182"/>
    <n v="29"/>
    <x v="38"/>
    <x v="3"/>
    <s v="AS Roma"/>
    <x v="9"/>
    <n v="34"/>
    <n v="4"/>
    <n v="4"/>
    <n v="8"/>
    <n v="0"/>
    <n v="20"/>
    <n v="187"/>
    <n v="78"/>
    <s v="2024/25"/>
  </r>
  <r>
    <x v="183"/>
    <n v="25"/>
    <x v="12"/>
    <x v="3"/>
    <s v="AS Roma"/>
    <x v="8"/>
    <n v="32"/>
    <n v="0"/>
    <n v="0"/>
    <n v="2"/>
    <n v="0"/>
    <n v="12"/>
    <n v="192"/>
    <n v="84"/>
    <s v="2024/25"/>
  </r>
  <r>
    <x v="152"/>
    <n v="26"/>
    <x v="30"/>
    <x v="3"/>
    <s v="Galatasaray"/>
    <x v="1"/>
    <n v="23"/>
    <n v="17"/>
    <n v="5"/>
    <n v="3"/>
    <n v="0"/>
    <n v="75"/>
    <n v="185"/>
    <n v="78"/>
    <s v="2024/25"/>
  </r>
  <r>
    <x v="184"/>
    <n v="31"/>
    <x v="38"/>
    <x v="3"/>
    <s v="Napoli"/>
    <x v="7"/>
    <n v="32"/>
    <n v="3"/>
    <n v="6"/>
    <n v="5"/>
    <n v="0"/>
    <n v="25"/>
    <n v="183"/>
    <n v="78"/>
    <s v="2024/25"/>
  </r>
  <r>
    <x v="185"/>
    <n v="30"/>
    <x v="20"/>
    <x v="3"/>
    <s v="Inter Milan"/>
    <x v="9"/>
    <n v="22"/>
    <n v="3"/>
    <n v="5"/>
    <n v="3"/>
    <n v="0"/>
    <n v="20"/>
    <n v="178"/>
    <n v="74"/>
    <s v="2024/25"/>
  </r>
  <r>
    <x v="186"/>
    <n v="28"/>
    <x v="14"/>
    <x v="3"/>
    <s v="Napoli"/>
    <x v="9"/>
    <n v="34"/>
    <n v="10"/>
    <n v="6"/>
    <n v="7"/>
    <n v="0"/>
    <n v="35"/>
    <n v="189"/>
    <n v="83"/>
    <s v="2024/25"/>
  </r>
  <r>
    <x v="187"/>
    <n v="27"/>
    <x v="38"/>
    <x v="3"/>
    <s v="Napoli"/>
    <x v="8"/>
    <n v="36"/>
    <n v="0"/>
    <n v="0"/>
    <n v="2"/>
    <n v="0"/>
    <n v="18"/>
    <n v="190"/>
    <n v="82"/>
    <s v="2024/25"/>
  </r>
  <r>
    <x v="151"/>
    <n v="24"/>
    <x v="27"/>
    <x v="3"/>
    <s v="Paris Saint-Germain"/>
    <x v="4"/>
    <n v="20"/>
    <n v="6"/>
    <n v="7"/>
    <n v="2"/>
    <n v="0"/>
    <n v="90"/>
    <n v="183"/>
    <n v="75"/>
    <s v="2024/25"/>
  </r>
  <r>
    <x v="188"/>
    <n v="31"/>
    <x v="12"/>
    <x v="3"/>
    <s v="Napoli"/>
    <x v="1"/>
    <n v="32"/>
    <n v="13"/>
    <n v="4"/>
    <n v="3"/>
    <n v="0"/>
    <n v="20"/>
    <n v="190"/>
    <n v="94"/>
    <s v="2024/25"/>
  </r>
  <r>
    <x v="189"/>
    <n v="28"/>
    <x v="4"/>
    <x v="3"/>
    <s v="Napoli"/>
    <x v="6"/>
    <n v="34"/>
    <n v="5"/>
    <n v="5"/>
    <n v="8"/>
    <n v="0"/>
    <n v="30"/>
    <n v="185"/>
    <n v="80"/>
    <s v="2024/25"/>
  </r>
  <r>
    <x v="190"/>
    <n v="30"/>
    <x v="42"/>
    <x v="3"/>
    <s v="Napoli"/>
    <x v="6"/>
    <n v="32"/>
    <n v="1"/>
    <n v="5"/>
    <n v="6"/>
    <n v="0"/>
    <n v="40"/>
    <n v="170"/>
    <n v="68"/>
    <s v="2024/25"/>
  </r>
  <r>
    <x v="191"/>
    <n v="24"/>
    <x v="18"/>
    <x v="3"/>
    <s v="Napoli"/>
    <x v="0"/>
    <n v="24"/>
    <n v="3"/>
    <n v="4"/>
    <n v="2"/>
    <n v="0"/>
    <n v="20"/>
    <n v="181"/>
    <n v="74"/>
    <s v="2024/25"/>
  </r>
  <r>
    <x v="192"/>
    <n v="30"/>
    <x v="43"/>
    <x v="3"/>
    <s v="Napoli"/>
    <x v="5"/>
    <n v="30"/>
    <n v="3"/>
    <n v="1"/>
    <n v="4"/>
    <n v="0"/>
    <n v="20"/>
    <n v="189"/>
    <n v="82"/>
    <s v="2024/25"/>
  </r>
  <r>
    <x v="193"/>
    <n v="27"/>
    <x v="23"/>
    <x v="3"/>
    <s v="Napoli"/>
    <x v="10"/>
    <n v="28"/>
    <n v="1"/>
    <n v="3"/>
    <n v="4"/>
    <n v="0"/>
    <n v="18"/>
    <n v="181"/>
    <n v="75"/>
    <s v="2024/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8ADEB2-22EB-483E-A4B3-04E7D7D240E4}" name="PT_TopMarketValues"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1:H12" firstHeaderRow="1" firstDataRow="1" firstDataCol="1"/>
  <pivotFields count="15">
    <pivotField axis="axisRow" showAll="0" measureFilter="1" sortType="descending">
      <items count="195">
        <item x="149"/>
        <item x="169"/>
        <item x="86"/>
        <item x="162"/>
        <item x="187"/>
        <item x="1"/>
        <item x="145"/>
        <item x="80"/>
        <item x="19"/>
        <item x="111"/>
        <item x="76"/>
        <item x="192"/>
        <item x="47"/>
        <item x="35"/>
        <item x="41"/>
        <item x="58"/>
        <item x="77"/>
        <item x="43"/>
        <item x="81"/>
        <item x="66"/>
        <item x="96"/>
        <item x="136"/>
        <item x="98"/>
        <item x="83"/>
        <item x="11"/>
        <item x="182"/>
        <item x="4"/>
        <item x="9"/>
        <item x="48"/>
        <item x="143"/>
        <item x="3"/>
        <item x="140"/>
        <item x="133"/>
        <item x="8"/>
        <item x="60"/>
        <item x="75"/>
        <item x="84"/>
        <item x="93"/>
        <item x="18"/>
        <item x="112"/>
        <item x="16"/>
        <item x="142"/>
        <item x="165"/>
        <item x="26"/>
        <item x="148"/>
        <item x="92"/>
        <item x="20"/>
        <item x="49"/>
        <item x="120"/>
        <item x="38"/>
        <item x="144"/>
        <item x="2"/>
        <item x="129"/>
        <item x="71"/>
        <item x="160"/>
        <item x="168"/>
        <item x="166"/>
        <item x="70"/>
        <item x="61"/>
        <item x="100"/>
        <item x="163"/>
        <item x="189"/>
        <item x="32"/>
        <item x="30"/>
        <item x="74"/>
        <item x="175"/>
        <item x="90"/>
        <item x="171"/>
        <item x="176"/>
        <item x="97"/>
        <item x="184"/>
        <item x="170"/>
        <item x="102"/>
        <item x="122"/>
        <item x="88"/>
        <item x="159"/>
        <item x="99"/>
        <item x="29"/>
        <item x="82"/>
        <item x="34"/>
        <item x="40"/>
        <item x="104"/>
        <item x="28"/>
        <item x="65"/>
        <item x="27"/>
        <item x="45"/>
        <item x="191"/>
        <item x="126"/>
        <item x="130"/>
        <item x="94"/>
        <item x="108"/>
        <item x="179"/>
        <item x="56"/>
        <item x="59"/>
        <item x="119"/>
        <item x="118"/>
        <item x="173"/>
        <item x="139"/>
        <item x="151"/>
        <item x="24"/>
        <item x="106"/>
        <item x="114"/>
        <item x="50"/>
        <item x="54"/>
        <item x="147"/>
        <item x="31"/>
        <item x="105"/>
        <item x="134"/>
        <item x="157"/>
        <item x="69"/>
        <item x="72"/>
        <item x="127"/>
        <item x="172"/>
        <item x="107"/>
        <item x="62"/>
        <item x="121"/>
        <item x="87"/>
        <item x="10"/>
        <item x="150"/>
        <item x="89"/>
        <item x="178"/>
        <item x="14"/>
        <item x="146"/>
        <item x="7"/>
        <item x="123"/>
        <item x="21"/>
        <item x="155"/>
        <item x="79"/>
        <item x="44"/>
        <item x="183"/>
        <item x="113"/>
        <item x="0"/>
        <item x="37"/>
        <item x="42"/>
        <item x="22"/>
        <item x="124"/>
        <item x="78"/>
        <item x="141"/>
        <item x="158"/>
        <item x="39"/>
        <item x="116"/>
        <item x="193"/>
        <item x="6"/>
        <item x="101"/>
        <item x="128"/>
        <item x="68"/>
        <item x="156"/>
        <item x="55"/>
        <item x="25"/>
        <item x="137"/>
        <item x="13"/>
        <item x="185"/>
        <item x="153"/>
        <item x="125"/>
        <item x="115"/>
        <item x="53"/>
        <item x="46"/>
        <item x="36"/>
        <item x="131"/>
        <item x="51"/>
        <item x="57"/>
        <item x="188"/>
        <item x="67"/>
        <item x="23"/>
        <item x="186"/>
        <item x="110"/>
        <item x="95"/>
        <item x="91"/>
        <item x="117"/>
        <item x="161"/>
        <item x="12"/>
        <item x="190"/>
        <item x="181"/>
        <item x="180"/>
        <item x="177"/>
        <item x="154"/>
        <item x="64"/>
        <item x="109"/>
        <item x="174"/>
        <item x="73"/>
        <item x="17"/>
        <item x="85"/>
        <item x="103"/>
        <item x="152"/>
        <item x="52"/>
        <item x="15"/>
        <item x="167"/>
        <item x="138"/>
        <item x="33"/>
        <item x="63"/>
        <item x="132"/>
        <item x="135"/>
        <item x="164"/>
        <item x="5"/>
        <item t="default"/>
      </items>
      <autoSortScope>
        <pivotArea dataOnly="0" outline="0" fieldPosition="0">
          <references count="1">
            <reference field="4294967294" count="1" selected="0">
              <x v="0"/>
            </reference>
          </references>
        </pivotArea>
      </autoSortScope>
    </pivotField>
    <pivotField showAll="0"/>
    <pivotField showAll="0">
      <items count="45">
        <item x="34"/>
        <item x="17"/>
        <item x="16"/>
        <item x="28"/>
        <item x="12"/>
        <item x="7"/>
        <item x="4"/>
        <item x="31"/>
        <item x="39"/>
        <item x="5"/>
        <item x="24"/>
        <item x="36"/>
        <item x="18"/>
        <item x="10"/>
        <item x="15"/>
        <item x="0"/>
        <item x="6"/>
        <item x="35"/>
        <item x="13"/>
        <item x="27"/>
        <item x="21"/>
        <item x="25"/>
        <item x="33"/>
        <item x="37"/>
        <item x="38"/>
        <item x="43"/>
        <item x="19"/>
        <item x="32"/>
        <item x="3"/>
        <item x="30"/>
        <item x="2"/>
        <item x="20"/>
        <item x="8"/>
        <item x="14"/>
        <item x="41"/>
        <item x="42"/>
        <item x="22"/>
        <item x="9"/>
        <item x="11"/>
        <item x="1"/>
        <item x="29"/>
        <item x="40"/>
        <item x="26"/>
        <item x="23"/>
        <item t="default"/>
      </items>
    </pivotField>
    <pivotField showAll="0">
      <items count="5">
        <item x="2"/>
        <item x="1"/>
        <item x="0"/>
        <item x="3"/>
        <item t="default"/>
      </items>
    </pivotField>
    <pivotField showAll="0"/>
    <pivotField showAll="0">
      <items count="12">
        <item x="3"/>
        <item x="5"/>
        <item x="6"/>
        <item x="2"/>
        <item x="9"/>
        <item x="8"/>
        <item x="10"/>
        <item x="4"/>
        <item x="7"/>
        <item x="0"/>
        <item x="1"/>
        <item t="default"/>
      </items>
    </pivotField>
    <pivotField showAll="0"/>
    <pivotField showAll="0"/>
    <pivotField showAll="0"/>
    <pivotField showAll="0"/>
    <pivotField showAll="0"/>
    <pivotField dataField="1" showAll="0"/>
    <pivotField showAll="0"/>
    <pivotField showAll="0"/>
    <pivotField showAll="0"/>
  </pivotFields>
  <rowFields count="1">
    <field x="0"/>
  </rowFields>
  <rowItems count="11">
    <i>
      <x v="103"/>
    </i>
    <i>
      <x v="184"/>
    </i>
    <i>
      <x v="92"/>
    </i>
    <i>
      <x v="102"/>
    </i>
    <i>
      <x v="147"/>
    </i>
    <i>
      <x v="51"/>
    </i>
    <i>
      <x v="81"/>
    </i>
    <i>
      <x v="59"/>
    </i>
    <i>
      <x v="27"/>
    </i>
    <i>
      <x v="150"/>
    </i>
    <i t="grand">
      <x/>
    </i>
  </rowItems>
  <colItems count="1">
    <i/>
  </colItems>
  <dataFields count="1">
    <dataField name="Max of Market Value (€M)" fld="11" subtotal="max" baseField="0" baseItem="0"/>
  </dataFields>
  <chartFormats count="1">
    <chartFormat chart="3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778595-06D8-495B-B7E0-8CA772C63E16}" name="PT_PlayersByPosition"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E13" firstHeaderRow="1" firstDataRow="1" firstDataCol="1"/>
  <pivotFields count="15">
    <pivotField dataField="1" showAll="0">
      <items count="195">
        <item x="149"/>
        <item x="169"/>
        <item x="86"/>
        <item x="162"/>
        <item x="187"/>
        <item x="1"/>
        <item x="145"/>
        <item x="80"/>
        <item x="19"/>
        <item x="111"/>
        <item x="76"/>
        <item x="192"/>
        <item x="47"/>
        <item x="35"/>
        <item x="41"/>
        <item x="58"/>
        <item x="77"/>
        <item x="43"/>
        <item x="81"/>
        <item x="66"/>
        <item x="96"/>
        <item x="136"/>
        <item x="98"/>
        <item x="83"/>
        <item x="11"/>
        <item x="182"/>
        <item x="4"/>
        <item x="9"/>
        <item x="48"/>
        <item x="143"/>
        <item x="3"/>
        <item x="140"/>
        <item x="133"/>
        <item x="8"/>
        <item x="60"/>
        <item x="75"/>
        <item x="84"/>
        <item x="93"/>
        <item x="18"/>
        <item x="112"/>
        <item x="16"/>
        <item x="142"/>
        <item x="165"/>
        <item x="26"/>
        <item x="148"/>
        <item x="92"/>
        <item x="20"/>
        <item x="49"/>
        <item x="120"/>
        <item x="38"/>
        <item x="144"/>
        <item x="2"/>
        <item x="129"/>
        <item x="71"/>
        <item x="160"/>
        <item x="168"/>
        <item x="166"/>
        <item x="70"/>
        <item x="61"/>
        <item x="100"/>
        <item x="163"/>
        <item x="189"/>
        <item x="32"/>
        <item x="30"/>
        <item x="74"/>
        <item x="175"/>
        <item x="90"/>
        <item x="171"/>
        <item x="176"/>
        <item x="97"/>
        <item x="184"/>
        <item x="170"/>
        <item x="102"/>
        <item x="122"/>
        <item x="88"/>
        <item x="159"/>
        <item x="99"/>
        <item x="29"/>
        <item x="82"/>
        <item x="34"/>
        <item x="40"/>
        <item x="104"/>
        <item x="28"/>
        <item x="65"/>
        <item x="27"/>
        <item x="45"/>
        <item x="191"/>
        <item x="126"/>
        <item x="130"/>
        <item x="94"/>
        <item x="108"/>
        <item x="179"/>
        <item x="56"/>
        <item x="59"/>
        <item x="119"/>
        <item x="118"/>
        <item x="173"/>
        <item x="139"/>
        <item x="151"/>
        <item x="24"/>
        <item x="106"/>
        <item x="114"/>
        <item x="50"/>
        <item x="54"/>
        <item x="147"/>
        <item x="31"/>
        <item x="105"/>
        <item x="134"/>
        <item x="157"/>
        <item x="69"/>
        <item x="72"/>
        <item x="127"/>
        <item x="172"/>
        <item x="107"/>
        <item x="62"/>
        <item x="121"/>
        <item x="87"/>
        <item x="10"/>
        <item x="150"/>
        <item x="89"/>
        <item x="178"/>
        <item x="14"/>
        <item x="146"/>
        <item x="7"/>
        <item x="123"/>
        <item x="21"/>
        <item x="155"/>
        <item x="79"/>
        <item x="44"/>
        <item x="183"/>
        <item x="113"/>
        <item x="0"/>
        <item x="37"/>
        <item x="42"/>
        <item x="22"/>
        <item x="124"/>
        <item x="78"/>
        <item x="141"/>
        <item x="158"/>
        <item x="39"/>
        <item x="116"/>
        <item x="193"/>
        <item x="6"/>
        <item x="101"/>
        <item x="128"/>
        <item x="68"/>
        <item x="156"/>
        <item x="55"/>
        <item x="25"/>
        <item x="137"/>
        <item x="13"/>
        <item x="185"/>
        <item x="153"/>
        <item x="125"/>
        <item x="115"/>
        <item x="53"/>
        <item x="46"/>
        <item x="36"/>
        <item x="131"/>
        <item x="51"/>
        <item x="57"/>
        <item x="188"/>
        <item x="67"/>
        <item x="23"/>
        <item x="186"/>
        <item x="110"/>
        <item x="95"/>
        <item x="91"/>
        <item x="117"/>
        <item x="161"/>
        <item x="12"/>
        <item x="190"/>
        <item x="181"/>
        <item x="180"/>
        <item x="177"/>
        <item x="154"/>
        <item x="64"/>
        <item x="109"/>
        <item x="174"/>
        <item x="73"/>
        <item x="17"/>
        <item x="85"/>
        <item x="103"/>
        <item x="152"/>
        <item x="52"/>
        <item x="15"/>
        <item x="167"/>
        <item x="138"/>
        <item x="33"/>
        <item x="63"/>
        <item x="132"/>
        <item x="135"/>
        <item x="164"/>
        <item x="5"/>
        <item t="default"/>
      </items>
    </pivotField>
    <pivotField showAll="0"/>
    <pivotField showAll="0">
      <items count="45">
        <item x="34"/>
        <item x="17"/>
        <item x="16"/>
        <item x="28"/>
        <item x="12"/>
        <item x="7"/>
        <item x="4"/>
        <item x="31"/>
        <item x="39"/>
        <item x="5"/>
        <item x="24"/>
        <item x="36"/>
        <item x="18"/>
        <item x="10"/>
        <item x="15"/>
        <item x="0"/>
        <item x="6"/>
        <item x="35"/>
        <item x="13"/>
        <item x="27"/>
        <item x="21"/>
        <item x="25"/>
        <item x="33"/>
        <item x="37"/>
        <item x="38"/>
        <item x="43"/>
        <item x="19"/>
        <item x="32"/>
        <item x="3"/>
        <item x="30"/>
        <item x="2"/>
        <item x="20"/>
        <item x="8"/>
        <item x="14"/>
        <item x="41"/>
        <item x="42"/>
        <item x="22"/>
        <item x="9"/>
        <item x="11"/>
        <item x="1"/>
        <item x="29"/>
        <item x="40"/>
        <item x="26"/>
        <item x="23"/>
        <item t="default"/>
      </items>
    </pivotField>
    <pivotField showAll="0">
      <items count="5">
        <item x="2"/>
        <item x="1"/>
        <item x="0"/>
        <item x="3"/>
        <item t="default"/>
      </items>
    </pivotField>
    <pivotField showAll="0"/>
    <pivotField axis="axisRow" showAll="0">
      <items count="12">
        <item x="3"/>
        <item x="5"/>
        <item x="6"/>
        <item x="2"/>
        <item x="9"/>
        <item x="8"/>
        <item x="10"/>
        <item x="4"/>
        <item x="7"/>
        <item x="0"/>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Count of Player Name" fld="0" subtotal="count" baseField="0" baseItem="0"/>
  </dataFields>
  <chartFormats count="12">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 chart="5" format="5">
      <pivotArea type="data" outline="0" fieldPosition="0">
        <references count="2">
          <reference field="4294967294" count="1" selected="0">
            <x v="0"/>
          </reference>
          <reference field="5" count="1" selected="0">
            <x v="3"/>
          </reference>
        </references>
      </pivotArea>
    </chartFormat>
    <chartFormat chart="5" format="6">
      <pivotArea type="data" outline="0" fieldPosition="0">
        <references count="2">
          <reference field="4294967294" count="1" selected="0">
            <x v="0"/>
          </reference>
          <reference field="5" count="1" selected="0">
            <x v="4"/>
          </reference>
        </references>
      </pivotArea>
    </chartFormat>
    <chartFormat chart="5" format="7">
      <pivotArea type="data" outline="0" fieldPosition="0">
        <references count="2">
          <reference field="4294967294" count="1" selected="0">
            <x v="0"/>
          </reference>
          <reference field="5" count="1" selected="0">
            <x v="5"/>
          </reference>
        </references>
      </pivotArea>
    </chartFormat>
    <chartFormat chart="5" format="8">
      <pivotArea type="data" outline="0" fieldPosition="0">
        <references count="2">
          <reference field="4294967294" count="1" selected="0">
            <x v="0"/>
          </reference>
          <reference field="5" count="1" selected="0">
            <x v="6"/>
          </reference>
        </references>
      </pivotArea>
    </chartFormat>
    <chartFormat chart="5" format="9">
      <pivotArea type="data" outline="0" fieldPosition="0">
        <references count="2">
          <reference field="4294967294" count="1" selected="0">
            <x v="0"/>
          </reference>
          <reference field="5" count="1" selected="0">
            <x v="7"/>
          </reference>
        </references>
      </pivotArea>
    </chartFormat>
    <chartFormat chart="5" format="10">
      <pivotArea type="data" outline="0" fieldPosition="0">
        <references count="2">
          <reference field="4294967294" count="1" selected="0">
            <x v="0"/>
          </reference>
          <reference field="5" count="1" selected="0">
            <x v="8"/>
          </reference>
        </references>
      </pivotArea>
    </chartFormat>
    <chartFormat chart="5" format="11">
      <pivotArea type="data" outline="0" fieldPosition="0">
        <references count="2">
          <reference field="4294967294" count="1" selected="0">
            <x v="0"/>
          </reference>
          <reference field="5" count="1" selected="0">
            <x v="9"/>
          </reference>
        </references>
      </pivotArea>
    </chartFormat>
    <chartFormat chart="5" format="12">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8E91A-D1D8-46CD-9AE6-8FC787C17318}" name="PT_GoalsByLeague"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6" firstHeaderRow="1" firstDataRow="1" firstDataCol="1"/>
  <pivotFields count="15">
    <pivotField showAll="0"/>
    <pivotField showAll="0"/>
    <pivotField showAll="0">
      <items count="45">
        <item x="34"/>
        <item x="17"/>
        <item x="16"/>
        <item x="28"/>
        <item x="12"/>
        <item x="7"/>
        <item x="4"/>
        <item x="31"/>
        <item x="39"/>
        <item x="5"/>
        <item x="24"/>
        <item x="36"/>
        <item x="18"/>
        <item x="10"/>
        <item x="15"/>
        <item x="0"/>
        <item x="6"/>
        <item x="35"/>
        <item x="13"/>
        <item x="27"/>
        <item x="21"/>
        <item x="25"/>
        <item x="33"/>
        <item x="37"/>
        <item x="38"/>
        <item x="43"/>
        <item x="19"/>
        <item x="32"/>
        <item x="3"/>
        <item x="30"/>
        <item x="2"/>
        <item x="20"/>
        <item x="8"/>
        <item x="14"/>
        <item x="41"/>
        <item x="42"/>
        <item x="22"/>
        <item x="9"/>
        <item x="11"/>
        <item x="1"/>
        <item x="29"/>
        <item x="40"/>
        <item x="26"/>
        <item x="23"/>
        <item t="default"/>
      </items>
    </pivotField>
    <pivotField axis="axisRow" showAll="0">
      <items count="5">
        <item x="2"/>
        <item x="1"/>
        <item x="0"/>
        <item x="3"/>
        <item t="default"/>
      </items>
    </pivotField>
    <pivotField showAll="0"/>
    <pivotField showAll="0">
      <items count="12">
        <item x="3"/>
        <item x="5"/>
        <item x="6"/>
        <item x="2"/>
        <item x="9"/>
        <item x="8"/>
        <item x="10"/>
        <item x="4"/>
        <item x="7"/>
        <item x="0"/>
        <item x="1"/>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Goals" fld="7" baseField="3"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EC7FD7-8226-4B25-93BC-81283F164AA1}" name="PT_Nationality"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K15" firstHeaderRow="1" firstDataRow="1" firstDataCol="1"/>
  <pivotFields count="15">
    <pivotField dataField="1" showAll="0">
      <items count="195">
        <item x="149"/>
        <item x="169"/>
        <item x="86"/>
        <item x="162"/>
        <item x="187"/>
        <item x="1"/>
        <item x="145"/>
        <item x="80"/>
        <item x="19"/>
        <item x="111"/>
        <item x="76"/>
        <item x="192"/>
        <item x="47"/>
        <item x="35"/>
        <item x="41"/>
        <item x="58"/>
        <item x="77"/>
        <item x="43"/>
        <item x="81"/>
        <item x="66"/>
        <item x="96"/>
        <item x="136"/>
        <item x="98"/>
        <item x="83"/>
        <item x="11"/>
        <item x="182"/>
        <item x="4"/>
        <item x="9"/>
        <item x="48"/>
        <item x="143"/>
        <item x="3"/>
        <item x="140"/>
        <item x="133"/>
        <item x="8"/>
        <item x="60"/>
        <item x="75"/>
        <item x="84"/>
        <item x="93"/>
        <item x="18"/>
        <item x="112"/>
        <item x="16"/>
        <item x="142"/>
        <item x="165"/>
        <item x="26"/>
        <item x="148"/>
        <item x="92"/>
        <item x="20"/>
        <item x="49"/>
        <item x="120"/>
        <item x="38"/>
        <item x="144"/>
        <item x="2"/>
        <item x="129"/>
        <item x="71"/>
        <item x="160"/>
        <item x="168"/>
        <item x="166"/>
        <item x="70"/>
        <item x="61"/>
        <item x="100"/>
        <item x="163"/>
        <item x="189"/>
        <item x="32"/>
        <item x="30"/>
        <item x="74"/>
        <item x="175"/>
        <item x="90"/>
        <item x="171"/>
        <item x="176"/>
        <item x="97"/>
        <item x="184"/>
        <item x="170"/>
        <item x="102"/>
        <item x="122"/>
        <item x="88"/>
        <item x="159"/>
        <item x="99"/>
        <item x="29"/>
        <item x="82"/>
        <item x="34"/>
        <item x="40"/>
        <item x="104"/>
        <item x="28"/>
        <item x="65"/>
        <item x="27"/>
        <item x="45"/>
        <item x="191"/>
        <item x="126"/>
        <item x="130"/>
        <item x="94"/>
        <item x="108"/>
        <item x="179"/>
        <item x="56"/>
        <item x="59"/>
        <item x="119"/>
        <item x="118"/>
        <item x="173"/>
        <item x="139"/>
        <item x="151"/>
        <item x="24"/>
        <item x="106"/>
        <item x="114"/>
        <item x="50"/>
        <item x="54"/>
        <item x="147"/>
        <item x="31"/>
        <item x="105"/>
        <item x="134"/>
        <item x="157"/>
        <item x="69"/>
        <item x="72"/>
        <item x="127"/>
        <item x="172"/>
        <item x="107"/>
        <item x="62"/>
        <item x="121"/>
        <item x="87"/>
        <item x="10"/>
        <item x="150"/>
        <item x="89"/>
        <item x="178"/>
        <item x="14"/>
        <item x="146"/>
        <item x="7"/>
        <item x="123"/>
        <item x="21"/>
        <item x="155"/>
        <item x="79"/>
        <item x="44"/>
        <item x="183"/>
        <item x="113"/>
        <item x="0"/>
        <item x="37"/>
        <item x="42"/>
        <item x="22"/>
        <item x="124"/>
        <item x="78"/>
        <item x="141"/>
        <item x="158"/>
        <item x="39"/>
        <item x="116"/>
        <item x="193"/>
        <item x="6"/>
        <item x="101"/>
        <item x="128"/>
        <item x="68"/>
        <item x="156"/>
        <item x="55"/>
        <item x="25"/>
        <item x="137"/>
        <item x="13"/>
        <item x="185"/>
        <item x="153"/>
        <item x="125"/>
        <item x="115"/>
        <item x="53"/>
        <item x="46"/>
        <item x="36"/>
        <item x="131"/>
        <item x="51"/>
        <item x="57"/>
        <item x="188"/>
        <item x="67"/>
        <item x="23"/>
        <item x="186"/>
        <item x="110"/>
        <item x="95"/>
        <item x="91"/>
        <item x="117"/>
        <item x="161"/>
        <item x="12"/>
        <item x="190"/>
        <item x="181"/>
        <item x="180"/>
        <item x="177"/>
        <item x="154"/>
        <item x="64"/>
        <item x="109"/>
        <item x="174"/>
        <item x="73"/>
        <item x="17"/>
        <item x="85"/>
        <item x="103"/>
        <item x="152"/>
        <item x="52"/>
        <item x="15"/>
        <item x="167"/>
        <item x="138"/>
        <item x="33"/>
        <item x="63"/>
        <item x="132"/>
        <item x="135"/>
        <item x="164"/>
        <item x="5"/>
        <item t="default"/>
      </items>
    </pivotField>
    <pivotField showAll="0"/>
    <pivotField axis="axisRow" showAll="0" measureFilter="1">
      <items count="45">
        <item x="34"/>
        <item x="17"/>
        <item x="16"/>
        <item x="28"/>
        <item x="12"/>
        <item x="7"/>
        <item x="4"/>
        <item x="31"/>
        <item x="39"/>
        <item x="5"/>
        <item x="24"/>
        <item x="36"/>
        <item x="18"/>
        <item x="10"/>
        <item x="15"/>
        <item x="0"/>
        <item x="6"/>
        <item x="35"/>
        <item x="13"/>
        <item x="27"/>
        <item x="21"/>
        <item x="25"/>
        <item x="33"/>
        <item x="37"/>
        <item x="38"/>
        <item x="43"/>
        <item x="19"/>
        <item x="32"/>
        <item x="3"/>
        <item x="30"/>
        <item x="2"/>
        <item x="20"/>
        <item x="8"/>
        <item x="14"/>
        <item x="41"/>
        <item x="42"/>
        <item x="22"/>
        <item x="9"/>
        <item x="11"/>
        <item x="1"/>
        <item x="29"/>
        <item x="40"/>
        <item x="26"/>
        <item x="23"/>
        <item t="default"/>
      </items>
    </pivotField>
    <pivotField showAll="0">
      <items count="5">
        <item x="2"/>
        <item x="1"/>
        <item x="0"/>
        <item x="3"/>
        <item t="default"/>
      </items>
    </pivotField>
    <pivotField showAll="0"/>
    <pivotField showAll="0">
      <items count="12">
        <item x="3"/>
        <item x="5"/>
        <item x="6"/>
        <item x="2"/>
        <item x="9"/>
        <item x="8"/>
        <item x="10"/>
        <item x="4"/>
        <item x="7"/>
        <item x="0"/>
        <item x="1"/>
        <item t="default"/>
      </items>
    </pivotField>
    <pivotField showAll="0"/>
    <pivotField showAll="0"/>
    <pivotField showAll="0"/>
    <pivotField showAll="0"/>
    <pivotField showAll="0"/>
    <pivotField showAll="0"/>
    <pivotField showAll="0"/>
    <pivotField showAll="0"/>
    <pivotField showAll="0"/>
  </pivotFields>
  <rowFields count="1">
    <field x="2"/>
  </rowFields>
  <rowItems count="14">
    <i>
      <x v="2"/>
    </i>
    <i>
      <x v="3"/>
    </i>
    <i>
      <x v="4"/>
    </i>
    <i>
      <x v="5"/>
    </i>
    <i>
      <x v="13"/>
    </i>
    <i>
      <x v="16"/>
    </i>
    <i>
      <x v="18"/>
    </i>
    <i>
      <x v="20"/>
    </i>
    <i>
      <x v="24"/>
    </i>
    <i>
      <x v="29"/>
    </i>
    <i>
      <x v="31"/>
    </i>
    <i>
      <x v="32"/>
    </i>
    <i>
      <x v="38"/>
    </i>
    <i t="grand">
      <x/>
    </i>
  </rowItems>
  <colItems count="1">
    <i/>
  </colItems>
  <dataFields count="1">
    <dataField name="Count of Player Name" fld="0" subtotal="count"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2F5ED706-6A35-4975-A497-BFC6A12EF94D}" sourceName="Nationality">
  <pivotTables>
    <pivotTable tabId="9" name="PT_GoalsByLeague"/>
    <pivotTable tabId="9" name="PT_Nationality"/>
    <pivotTable tabId="9" name="PT_PlayersByPosition"/>
    <pivotTable tabId="9" name="PT_TopMarketValues"/>
  </pivotTables>
  <data>
    <tabular pivotCacheId="1327707205">
      <items count="44">
        <i x="34" s="1"/>
        <i x="17" s="1"/>
        <i x="16" s="1"/>
        <i x="28" s="1"/>
        <i x="12" s="1"/>
        <i x="7" s="1"/>
        <i x="4" s="1"/>
        <i x="31" s="1"/>
        <i x="39" s="1"/>
        <i x="5" s="1"/>
        <i x="24" s="1"/>
        <i x="36" s="1"/>
        <i x="18" s="1"/>
        <i x="10" s="1"/>
        <i x="15" s="1"/>
        <i x="0" s="1"/>
        <i x="6" s="1"/>
        <i x="35" s="1"/>
        <i x="13" s="1"/>
        <i x="27" s="1"/>
        <i x="21" s="1"/>
        <i x="25" s="1"/>
        <i x="33" s="1"/>
        <i x="37" s="1"/>
        <i x="38" s="1"/>
        <i x="43" s="1"/>
        <i x="19" s="1"/>
        <i x="32" s="1"/>
        <i x="3" s="1"/>
        <i x="30" s="1"/>
        <i x="2" s="1"/>
        <i x="20" s="1"/>
        <i x="8" s="1"/>
        <i x="14" s="1"/>
        <i x="41" s="1"/>
        <i x="42" s="1"/>
        <i x="22" s="1"/>
        <i x="9" s="1"/>
        <i x="11" s="1"/>
        <i x="1" s="1"/>
        <i x="29" s="1"/>
        <i x="40" s="1"/>
        <i x="26"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gue" xr10:uid="{33DC167C-8547-4B21-A6FE-20686A272D7B}" sourceName="League">
  <pivotTables>
    <pivotTable tabId="9" name="PT_GoalsByLeague"/>
    <pivotTable tabId="9" name="PT_Nationality"/>
    <pivotTable tabId="9" name="PT_PlayersByPosition"/>
    <pivotTable tabId="9" name="PT_TopMarketValues"/>
  </pivotTables>
  <data>
    <tabular pivotCacheId="1327707205">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C9751D73-6CE4-41C7-85BC-1AF836AC8F21}" sourceName="Position">
  <pivotTables>
    <pivotTable tabId="9" name="PT_GoalsByLeague"/>
    <pivotTable tabId="9" name="PT_Nationality"/>
    <pivotTable tabId="9" name="PT_PlayersByPosition"/>
    <pivotTable tabId="9" name="PT_TopMarketValues"/>
  </pivotTables>
  <data>
    <tabular pivotCacheId="1327707205">
      <items count="11">
        <i x="3" s="1"/>
        <i x="5" s="1"/>
        <i x="6" s="1"/>
        <i x="2" s="1"/>
        <i x="9" s="1"/>
        <i x="8" s="1"/>
        <i x="10" s="1"/>
        <i x="4" s="1"/>
        <i x="7"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xr10:uid="{CD15E753-01E4-4978-B5FF-86EA4BB44C9F}" cache="Slicer_Nationality" caption="Nationality" columnCount="6" rowHeight="234950"/>
  <slicer name="League" xr10:uid="{E1CB7927-2C00-4DDE-9C02-2E0F8D7AA373}" cache="Slicer_League" caption="League" columnCount="4" style="SlicerStyleDark6" rowHeight="234950"/>
  <slicer name="Position" xr10:uid="{6F44D798-738E-418F-B5BC-55BD2A9D4E09}" cache="Slicer_Position" caption="Position" columnCount="4"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EBE51E-545A-42D1-9865-84C16363073B}" name="SoccerData" displayName="SoccerData" ref="A1:O199" totalsRowShown="0" headerRowDxfId="19" dataDxfId="17" headerRowBorderDxfId="18" tableBorderDxfId="16" totalsRowBorderDxfId="15">
  <autoFilter ref="A1:O199" xr:uid="{3CEBE51E-545A-42D1-9865-84C16363073B}"/>
  <tableColumns count="15">
    <tableColumn id="1" xr3:uid="{457693C7-D229-42A6-B69F-7DAC493944FD}" name="Player Name" dataDxfId="14"/>
    <tableColumn id="2" xr3:uid="{95DBAB41-2E21-4FFF-BF6C-0CEB8C29C09D}" name="Age" dataDxfId="13"/>
    <tableColumn id="3" xr3:uid="{E7A29901-C038-4F11-93F4-3F99CF4B2035}" name="Nationality" dataDxfId="12"/>
    <tableColumn id="4" xr3:uid="{0F1F1A51-E87F-4C0A-BF5A-3833999E2581}" name="League" dataDxfId="11"/>
    <tableColumn id="5" xr3:uid="{9325A4BC-0EFC-4A2C-9DD7-3EC53958F1F0}" name="Club" dataDxfId="10"/>
    <tableColumn id="6" xr3:uid="{8F3BC6E6-426F-4BA6-880B-A340633DBE17}" name="Position" dataDxfId="9"/>
    <tableColumn id="7" xr3:uid="{6EE84046-ABF0-41A0-A131-1473D478D117}" name="Appearances" dataDxfId="8"/>
    <tableColumn id="8" xr3:uid="{4C4C08E1-5C70-4505-B8B9-4F83EFAC2570}" name="Goals" dataDxfId="7"/>
    <tableColumn id="9" xr3:uid="{7BFB7371-47C7-46CB-BEC1-C5F895A9B6B1}" name="Assists" dataDxfId="6"/>
    <tableColumn id="10" xr3:uid="{070B646F-6689-4A7F-8A51-67E870A508BE}" name="Yellow Cards" dataDxfId="5"/>
    <tableColumn id="11" xr3:uid="{D77F5EBC-6307-451E-BEFF-B700253888CE}" name="Red Cards" dataDxfId="4"/>
    <tableColumn id="12" xr3:uid="{4EC256A0-1E0E-454B-8CD3-A38EA2800F47}" name="Market Value (€M)" dataDxfId="3"/>
    <tableColumn id="13" xr3:uid="{1AEA04E6-0BB9-4218-BC95-83DD2B361751}" name="Height (cm)" dataDxfId="2"/>
    <tableColumn id="14" xr3:uid="{84082DD4-9AF5-4AB0-AF34-3268994045F1}" name="Weight (kg)" dataDxfId="1"/>
    <tableColumn id="15" xr3:uid="{98D93D71-76E1-411B-951B-44F6318362E5}" name="Seas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9D5F6-BF74-43AC-A33A-9E9CA1EDA944}">
  <sheetPr>
    <tabColor rgb="FF006600"/>
  </sheetPr>
  <dimension ref="B5:P8"/>
  <sheetViews>
    <sheetView tabSelected="1" zoomScaleNormal="100" workbookViewId="0">
      <selection activeCell="U7" sqref="U7"/>
    </sheetView>
  </sheetViews>
  <sheetFormatPr defaultRowHeight="15" x14ac:dyDescent="0.25"/>
  <cols>
    <col min="1" max="16" width="7.42578125" customWidth="1"/>
  </cols>
  <sheetData>
    <row r="5" spans="2:16" x14ac:dyDescent="0.25">
      <c r="B5" s="48" t="s">
        <v>340</v>
      </c>
      <c r="C5" s="48"/>
      <c r="D5" s="48"/>
      <c r="F5" s="48" t="s">
        <v>309</v>
      </c>
      <c r="G5" s="48"/>
      <c r="H5" s="48"/>
      <c r="J5" s="48" t="s">
        <v>311</v>
      </c>
      <c r="K5" s="48"/>
      <c r="L5" s="48"/>
      <c r="N5" s="48" t="s">
        <v>312</v>
      </c>
      <c r="O5" s="48"/>
      <c r="P5" s="48"/>
    </row>
    <row r="6" spans="2:16" ht="15" customHeight="1" x14ac:dyDescent="0.25">
      <c r="B6" s="46">
        <f>COUNTA(SoccerData[Player Name])</f>
        <v>198</v>
      </c>
      <c r="C6" s="46"/>
      <c r="D6" s="46"/>
      <c r="F6" s="46">
        <f>SUM(SoccerData[Goals])</f>
        <v>1273</v>
      </c>
      <c r="G6" s="46"/>
      <c r="H6" s="46"/>
      <c r="J6" s="47">
        <f>AVERAGE(SoccerData[Market Value (€M)])</f>
        <v>46.429292929292927</v>
      </c>
      <c r="K6" s="47"/>
      <c r="L6" s="47"/>
      <c r="N6" s="51" t="str">
        <f>INDEX(SoccerData[Player Name],MATCH(MAX(SoccerData[Goals]),SoccerData[Goals],0))</f>
        <v>Kylian Mbappé</v>
      </c>
      <c r="O6" s="51"/>
      <c r="P6" s="51"/>
    </row>
    <row r="7" spans="2:16" ht="15" customHeight="1" x14ac:dyDescent="0.25">
      <c r="B7" s="46"/>
      <c r="C7" s="46"/>
      <c r="D7" s="46"/>
      <c r="F7" s="46"/>
      <c r="G7" s="46"/>
      <c r="H7" s="46"/>
      <c r="J7" s="47"/>
      <c r="K7" s="47"/>
      <c r="L7" s="47"/>
      <c r="N7" s="51"/>
      <c r="O7" s="51"/>
      <c r="P7" s="51"/>
    </row>
    <row r="8" spans="2:16" ht="15" customHeight="1" x14ac:dyDescent="0.25">
      <c r="B8" s="46"/>
      <c r="C8" s="46"/>
      <c r="D8" s="46"/>
      <c r="F8" s="46"/>
      <c r="G8" s="46"/>
      <c r="H8" s="46"/>
      <c r="J8" s="47"/>
      <c r="K8" s="47"/>
      <c r="L8" s="47"/>
      <c r="N8" s="51"/>
      <c r="O8" s="51"/>
      <c r="P8" s="51"/>
    </row>
  </sheetData>
  <mergeCells count="8">
    <mergeCell ref="B6:D8"/>
    <mergeCell ref="F6:H8"/>
    <mergeCell ref="J6:L8"/>
    <mergeCell ref="N6:P8"/>
    <mergeCell ref="B5:D5"/>
    <mergeCell ref="F5:H5"/>
    <mergeCell ref="J5:L5"/>
    <mergeCell ref="N5:P5"/>
  </mergeCells>
  <pageMargins left="0.7" right="0.7" top="0.75" bottom="0.75" header="0.3" footer="0.3"/>
  <pageSetup paperSize="9" orientation="landscape"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2145-0A87-4A88-9683-A9236DCA2669}">
  <dimension ref="A1:K15"/>
  <sheetViews>
    <sheetView workbookViewId="0">
      <selection activeCell="J1" sqref="J1"/>
    </sheetView>
  </sheetViews>
  <sheetFormatPr defaultRowHeight="15" x14ac:dyDescent="0.25"/>
  <cols>
    <col min="1" max="1" width="14.5703125" bestFit="1" customWidth="1"/>
    <col min="2" max="2" width="12.28515625" bestFit="1" customWidth="1"/>
    <col min="4" max="4" width="12.7109375" bestFit="1" customWidth="1"/>
    <col min="5" max="5" width="20" bestFit="1" customWidth="1"/>
    <col min="7" max="7" width="15.28515625" bestFit="1" customWidth="1"/>
    <col min="8" max="8" width="24" bestFit="1" customWidth="1"/>
    <col min="10" max="10" width="12.7109375" bestFit="1" customWidth="1"/>
    <col min="11" max="11" width="20" bestFit="1" customWidth="1"/>
  </cols>
  <sheetData>
    <row r="1" spans="1:11" x14ac:dyDescent="0.25">
      <c r="A1" s="44" t="s">
        <v>335</v>
      </c>
      <c r="B1" t="s">
        <v>337</v>
      </c>
      <c r="D1" s="44" t="s">
        <v>335</v>
      </c>
      <c r="E1" t="s">
        <v>338</v>
      </c>
      <c r="G1" s="44" t="s">
        <v>335</v>
      </c>
      <c r="H1" t="s">
        <v>339</v>
      </c>
      <c r="J1" s="44" t="s">
        <v>335</v>
      </c>
      <c r="K1" t="s">
        <v>338</v>
      </c>
    </row>
    <row r="2" spans="1:11" x14ac:dyDescent="0.25">
      <c r="A2" s="45" t="s">
        <v>182</v>
      </c>
      <c r="B2">
        <v>289</v>
      </c>
      <c r="D2" s="45" t="s">
        <v>45</v>
      </c>
      <c r="E2">
        <v>17</v>
      </c>
      <c r="G2" s="45" t="s">
        <v>120</v>
      </c>
      <c r="H2">
        <v>250</v>
      </c>
      <c r="J2" s="45" t="s">
        <v>95</v>
      </c>
      <c r="K2">
        <v>7</v>
      </c>
    </row>
    <row r="3" spans="1:11" x14ac:dyDescent="0.25">
      <c r="A3" s="45" t="s">
        <v>113</v>
      </c>
      <c r="B3">
        <v>305</v>
      </c>
      <c r="D3" s="45" t="s">
        <v>60</v>
      </c>
      <c r="E3">
        <v>23</v>
      </c>
      <c r="G3" s="45" t="s">
        <v>118</v>
      </c>
      <c r="H3">
        <v>200</v>
      </c>
      <c r="J3" s="45" t="s">
        <v>174</v>
      </c>
      <c r="K3">
        <v>5</v>
      </c>
    </row>
    <row r="4" spans="1:11" x14ac:dyDescent="0.25">
      <c r="A4" s="45" t="s">
        <v>17</v>
      </c>
      <c r="B4">
        <v>401</v>
      </c>
      <c r="D4" s="45" t="s">
        <v>62</v>
      </c>
      <c r="E4">
        <v>11</v>
      </c>
      <c r="G4" s="45" t="s">
        <v>122</v>
      </c>
      <c r="H4">
        <v>200</v>
      </c>
      <c r="J4" s="45" t="s">
        <v>71</v>
      </c>
      <c r="K4">
        <v>6</v>
      </c>
    </row>
    <row r="5" spans="1:11" x14ac:dyDescent="0.25">
      <c r="A5" s="45" t="s">
        <v>245</v>
      </c>
      <c r="B5">
        <v>278</v>
      </c>
      <c r="D5" s="45" t="s">
        <v>42</v>
      </c>
      <c r="E5">
        <v>8</v>
      </c>
      <c r="G5" s="45" t="s">
        <v>112</v>
      </c>
      <c r="H5">
        <v>180</v>
      </c>
      <c r="J5" s="45" t="s">
        <v>40</v>
      </c>
      <c r="K5">
        <v>11</v>
      </c>
    </row>
    <row r="6" spans="1:11" x14ac:dyDescent="0.25">
      <c r="A6" s="45" t="s">
        <v>336</v>
      </c>
      <c r="B6">
        <v>1273</v>
      </c>
      <c r="D6" s="45" t="s">
        <v>74</v>
      </c>
      <c r="E6">
        <v>26</v>
      </c>
      <c r="G6" s="45" t="s">
        <v>121</v>
      </c>
      <c r="H6">
        <v>180</v>
      </c>
      <c r="J6" s="45" t="s">
        <v>59</v>
      </c>
      <c r="K6">
        <v>4</v>
      </c>
    </row>
    <row r="7" spans="1:11" x14ac:dyDescent="0.25">
      <c r="D7" s="45" t="s">
        <v>67</v>
      </c>
      <c r="E7">
        <v>22</v>
      </c>
      <c r="G7" s="45" t="s">
        <v>25</v>
      </c>
      <c r="H7">
        <v>180</v>
      </c>
      <c r="J7" s="45" t="s">
        <v>37</v>
      </c>
      <c r="K7">
        <v>22</v>
      </c>
    </row>
    <row r="8" spans="1:11" x14ac:dyDescent="0.25">
      <c r="D8" s="45" t="s">
        <v>90</v>
      </c>
      <c r="E8">
        <v>11</v>
      </c>
      <c r="G8" s="45" t="s">
        <v>191</v>
      </c>
      <c r="H8">
        <v>150</v>
      </c>
      <c r="J8" s="45" t="s">
        <v>86</v>
      </c>
      <c r="K8">
        <v>15</v>
      </c>
    </row>
    <row r="9" spans="1:11" x14ac:dyDescent="0.25">
      <c r="D9" s="45" t="s">
        <v>50</v>
      </c>
      <c r="E9">
        <v>17</v>
      </c>
      <c r="G9" s="45" t="s">
        <v>184</v>
      </c>
      <c r="H9">
        <v>150</v>
      </c>
      <c r="J9" s="45" t="s">
        <v>130</v>
      </c>
      <c r="K9">
        <v>20</v>
      </c>
    </row>
    <row r="10" spans="1:11" x14ac:dyDescent="0.25">
      <c r="D10" s="45" t="s">
        <v>64</v>
      </c>
      <c r="E10">
        <v>10</v>
      </c>
      <c r="G10" s="45" t="s">
        <v>46</v>
      </c>
      <c r="H10">
        <v>150</v>
      </c>
      <c r="J10" s="45" t="s">
        <v>244</v>
      </c>
      <c r="K10">
        <v>17</v>
      </c>
    </row>
    <row r="11" spans="1:11" x14ac:dyDescent="0.25">
      <c r="D11" s="45" t="s">
        <v>19</v>
      </c>
      <c r="E11">
        <v>17</v>
      </c>
      <c r="G11" s="45" t="s">
        <v>56</v>
      </c>
      <c r="H11">
        <v>130</v>
      </c>
      <c r="J11" s="45" t="s">
        <v>190</v>
      </c>
      <c r="K11">
        <v>4</v>
      </c>
    </row>
    <row r="12" spans="1:11" x14ac:dyDescent="0.25">
      <c r="D12" s="45" t="s">
        <v>24</v>
      </c>
      <c r="E12">
        <v>36</v>
      </c>
      <c r="G12" s="45" t="s">
        <v>336</v>
      </c>
      <c r="H12">
        <v>250</v>
      </c>
      <c r="J12" s="45" t="s">
        <v>116</v>
      </c>
      <c r="K12">
        <v>4</v>
      </c>
    </row>
    <row r="13" spans="1:11" x14ac:dyDescent="0.25">
      <c r="D13" s="45" t="s">
        <v>336</v>
      </c>
      <c r="E13">
        <v>198</v>
      </c>
      <c r="J13" s="45" t="s">
        <v>52</v>
      </c>
      <c r="K13">
        <v>4</v>
      </c>
    </row>
    <row r="14" spans="1:11" x14ac:dyDescent="0.25">
      <c r="J14" s="45" t="s">
        <v>66</v>
      </c>
      <c r="K14">
        <v>28</v>
      </c>
    </row>
    <row r="15" spans="1:11" x14ac:dyDescent="0.25">
      <c r="J15" s="45" t="s">
        <v>336</v>
      </c>
      <c r="K15">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9"/>
  <sheetViews>
    <sheetView workbookViewId="0">
      <pane ySplit="1" topLeftCell="A2" activePane="bottomLeft" state="frozen"/>
      <selection pane="bottomLeft"/>
    </sheetView>
  </sheetViews>
  <sheetFormatPr defaultRowHeight="15" x14ac:dyDescent="0.25"/>
  <cols>
    <col min="1" max="1" width="24" customWidth="1"/>
    <col min="2" max="2" width="7" customWidth="1"/>
    <col min="3" max="3" width="16" customWidth="1"/>
    <col min="4" max="4" width="18" customWidth="1"/>
    <col min="5" max="5" width="24" customWidth="1"/>
    <col min="6" max="6" width="11.42578125" customWidth="1"/>
    <col min="7" max="7" width="16.28515625" customWidth="1"/>
    <col min="8" max="8" width="9" customWidth="1"/>
    <col min="9" max="9" width="10.28515625" customWidth="1"/>
    <col min="10" max="10" width="16.42578125" customWidth="1"/>
    <col min="11" max="11" width="13.85546875" customWidth="1"/>
    <col min="12" max="12" width="21.28515625" customWidth="1"/>
    <col min="13" max="13" width="14.7109375" customWidth="1"/>
    <col min="14" max="14" width="14.5703125" customWidth="1"/>
    <col min="15" max="15" width="10.7109375" customWidth="1"/>
  </cols>
  <sheetData>
    <row r="1" spans="1:15" ht="21.95" customHeight="1" x14ac:dyDescent="0.25">
      <c r="A1" s="37" t="s">
        <v>0</v>
      </c>
      <c r="B1" s="38" t="s">
        <v>1</v>
      </c>
      <c r="C1" s="38" t="s">
        <v>2</v>
      </c>
      <c r="D1" s="38" t="s">
        <v>3</v>
      </c>
      <c r="E1" s="38" t="s">
        <v>4</v>
      </c>
      <c r="F1" s="38" t="s">
        <v>5</v>
      </c>
      <c r="G1" s="38" t="s">
        <v>6</v>
      </c>
      <c r="H1" s="38" t="s">
        <v>7</v>
      </c>
      <c r="I1" s="38" t="s">
        <v>8</v>
      </c>
      <c r="J1" s="38" t="s">
        <v>9</v>
      </c>
      <c r="K1" s="38" t="s">
        <v>10</v>
      </c>
      <c r="L1" s="38" t="s">
        <v>11</v>
      </c>
      <c r="M1" s="38" t="s">
        <v>12</v>
      </c>
      <c r="N1" s="38" t="s">
        <v>13</v>
      </c>
      <c r="O1" s="39" t="s">
        <v>14</v>
      </c>
    </row>
    <row r="2" spans="1:15" x14ac:dyDescent="0.25">
      <c r="A2" s="33" t="s">
        <v>15</v>
      </c>
      <c r="B2" s="2">
        <v>32</v>
      </c>
      <c r="C2" s="1" t="s">
        <v>16</v>
      </c>
      <c r="D2" s="2" t="s">
        <v>17</v>
      </c>
      <c r="E2" s="1" t="s">
        <v>18</v>
      </c>
      <c r="F2" s="2" t="s">
        <v>19</v>
      </c>
      <c r="G2" s="2">
        <v>38</v>
      </c>
      <c r="H2" s="2">
        <v>29</v>
      </c>
      <c r="I2" s="2">
        <v>18</v>
      </c>
      <c r="J2" s="2">
        <v>2</v>
      </c>
      <c r="K2" s="2">
        <v>0</v>
      </c>
      <c r="L2" s="2">
        <v>75</v>
      </c>
      <c r="M2" s="2">
        <v>175</v>
      </c>
      <c r="N2" s="2">
        <v>71</v>
      </c>
      <c r="O2" s="35" t="s">
        <v>20</v>
      </c>
    </row>
    <row r="3" spans="1:15" x14ac:dyDescent="0.25">
      <c r="A3" s="34" t="s">
        <v>21</v>
      </c>
      <c r="B3" s="4">
        <v>25</v>
      </c>
      <c r="C3" s="3" t="s">
        <v>22</v>
      </c>
      <c r="D3" s="4" t="s">
        <v>17</v>
      </c>
      <c r="E3" s="3" t="s">
        <v>23</v>
      </c>
      <c r="F3" s="4" t="s">
        <v>24</v>
      </c>
      <c r="G3" s="4">
        <v>35</v>
      </c>
      <c r="H3" s="4">
        <v>23</v>
      </c>
      <c r="I3" s="4">
        <v>5</v>
      </c>
      <c r="J3" s="4">
        <v>3</v>
      </c>
      <c r="K3" s="4">
        <v>0</v>
      </c>
      <c r="L3" s="4">
        <v>90</v>
      </c>
      <c r="M3" s="4">
        <v>190</v>
      </c>
      <c r="N3" s="4">
        <v>79</v>
      </c>
      <c r="O3" s="36" t="s">
        <v>20</v>
      </c>
    </row>
    <row r="4" spans="1:15" x14ac:dyDescent="0.25">
      <c r="A4" s="33" t="s">
        <v>25</v>
      </c>
      <c r="B4" s="2">
        <v>24</v>
      </c>
      <c r="C4" s="1" t="s">
        <v>26</v>
      </c>
      <c r="D4" s="2" t="s">
        <v>17</v>
      </c>
      <c r="E4" s="1" t="s">
        <v>27</v>
      </c>
      <c r="F4" s="2" t="s">
        <v>24</v>
      </c>
      <c r="G4" s="2">
        <v>31</v>
      </c>
      <c r="H4" s="2">
        <v>22</v>
      </c>
      <c r="I4" s="2">
        <v>5</v>
      </c>
      <c r="J4" s="2">
        <v>2</v>
      </c>
      <c r="K4" s="2">
        <v>0</v>
      </c>
      <c r="L4" s="2">
        <v>180</v>
      </c>
      <c r="M4" s="2">
        <v>194</v>
      </c>
      <c r="N4" s="2">
        <v>88</v>
      </c>
      <c r="O4" s="35" t="s">
        <v>20</v>
      </c>
    </row>
    <row r="5" spans="1:15" x14ac:dyDescent="0.25">
      <c r="A5" s="34" t="s">
        <v>28</v>
      </c>
      <c r="B5" s="4">
        <v>33</v>
      </c>
      <c r="C5" s="3" t="s">
        <v>29</v>
      </c>
      <c r="D5" s="4" t="s">
        <v>17</v>
      </c>
      <c r="E5" s="3" t="s">
        <v>30</v>
      </c>
      <c r="F5" s="4" t="s">
        <v>24</v>
      </c>
      <c r="G5" s="4">
        <v>36</v>
      </c>
      <c r="H5" s="4">
        <v>20</v>
      </c>
      <c r="I5" s="4">
        <v>3</v>
      </c>
      <c r="J5" s="4">
        <v>4</v>
      </c>
      <c r="K5" s="4">
        <v>0</v>
      </c>
      <c r="L5" s="4">
        <v>12</v>
      </c>
      <c r="M5" s="4">
        <v>190</v>
      </c>
      <c r="N5" s="4">
        <v>82</v>
      </c>
      <c r="O5" s="36" t="s">
        <v>20</v>
      </c>
    </row>
    <row r="6" spans="1:15" x14ac:dyDescent="0.25">
      <c r="A6" s="33" t="s">
        <v>31</v>
      </c>
      <c r="B6" s="2">
        <v>25</v>
      </c>
      <c r="C6" s="1" t="s">
        <v>32</v>
      </c>
      <c r="D6" s="2" t="s">
        <v>17</v>
      </c>
      <c r="E6" s="1" t="s">
        <v>33</v>
      </c>
      <c r="F6" s="2" t="s">
        <v>19</v>
      </c>
      <c r="G6" s="2">
        <v>37</v>
      </c>
      <c r="H6" s="2">
        <v>20</v>
      </c>
      <c r="I6" s="2">
        <v>7</v>
      </c>
      <c r="J6" s="2">
        <v>3</v>
      </c>
      <c r="K6" s="2">
        <v>0</v>
      </c>
      <c r="L6" s="2">
        <v>55</v>
      </c>
      <c r="M6" s="2">
        <v>170</v>
      </c>
      <c r="N6" s="2">
        <v>67</v>
      </c>
      <c r="O6" s="35" t="s">
        <v>20</v>
      </c>
    </row>
    <row r="7" spans="1:15" x14ac:dyDescent="0.25">
      <c r="A7" s="34" t="s">
        <v>34</v>
      </c>
      <c r="B7" s="4">
        <v>28</v>
      </c>
      <c r="C7" s="3" t="s">
        <v>35</v>
      </c>
      <c r="D7" s="4" t="s">
        <v>17</v>
      </c>
      <c r="E7" s="3" t="s">
        <v>33</v>
      </c>
      <c r="F7" s="4" t="s">
        <v>24</v>
      </c>
      <c r="G7" s="4">
        <v>35</v>
      </c>
      <c r="H7" s="4">
        <v>19</v>
      </c>
      <c r="I7" s="4">
        <v>6</v>
      </c>
      <c r="J7" s="4">
        <v>2</v>
      </c>
      <c r="K7" s="4">
        <v>0</v>
      </c>
      <c r="L7" s="4">
        <v>35</v>
      </c>
      <c r="M7" s="4">
        <v>176</v>
      </c>
      <c r="N7" s="4">
        <v>75</v>
      </c>
      <c r="O7" s="36" t="s">
        <v>20</v>
      </c>
    </row>
    <row r="8" spans="1:15" x14ac:dyDescent="0.25">
      <c r="A8" s="33" t="s">
        <v>36</v>
      </c>
      <c r="B8" s="2">
        <v>29</v>
      </c>
      <c r="C8" s="1" t="s">
        <v>37</v>
      </c>
      <c r="D8" s="2" t="s">
        <v>17</v>
      </c>
      <c r="E8" s="1" t="s">
        <v>38</v>
      </c>
      <c r="F8" s="2" t="s">
        <v>24</v>
      </c>
      <c r="G8" s="2">
        <v>36</v>
      </c>
      <c r="H8" s="2">
        <v>16</v>
      </c>
      <c r="I8" s="2">
        <v>8</v>
      </c>
      <c r="J8" s="2">
        <v>3</v>
      </c>
      <c r="K8" s="2">
        <v>0</v>
      </c>
      <c r="L8" s="2">
        <v>75</v>
      </c>
      <c r="M8" s="2">
        <v>180</v>
      </c>
      <c r="N8" s="2">
        <v>77</v>
      </c>
      <c r="O8" s="35" t="s">
        <v>20</v>
      </c>
    </row>
    <row r="9" spans="1:15" x14ac:dyDescent="0.25">
      <c r="A9" s="34" t="s">
        <v>39</v>
      </c>
      <c r="B9" s="4">
        <v>25</v>
      </c>
      <c r="C9" s="3" t="s">
        <v>40</v>
      </c>
      <c r="D9" s="4" t="s">
        <v>17</v>
      </c>
      <c r="E9" s="3" t="s">
        <v>41</v>
      </c>
      <c r="F9" s="4" t="s">
        <v>42</v>
      </c>
      <c r="G9" s="4">
        <v>34</v>
      </c>
      <c r="H9" s="4">
        <v>15</v>
      </c>
      <c r="I9" s="4">
        <v>9</v>
      </c>
      <c r="J9" s="4">
        <v>7</v>
      </c>
      <c r="K9" s="4">
        <v>0</v>
      </c>
      <c r="L9" s="4">
        <v>55</v>
      </c>
      <c r="M9" s="4">
        <v>180</v>
      </c>
      <c r="N9" s="4">
        <v>77</v>
      </c>
      <c r="O9" s="36" t="s">
        <v>20</v>
      </c>
    </row>
    <row r="10" spans="1:15" x14ac:dyDescent="0.25">
      <c r="A10" s="33" t="s">
        <v>43</v>
      </c>
      <c r="B10" s="2">
        <v>22</v>
      </c>
      <c r="C10" s="1" t="s">
        <v>37</v>
      </c>
      <c r="D10" s="2" t="s">
        <v>17</v>
      </c>
      <c r="E10" s="1" t="s">
        <v>44</v>
      </c>
      <c r="F10" s="2" t="s">
        <v>45</v>
      </c>
      <c r="G10" s="2">
        <v>34</v>
      </c>
      <c r="H10" s="2">
        <v>15</v>
      </c>
      <c r="I10" s="2">
        <v>12</v>
      </c>
      <c r="J10" s="2">
        <v>3</v>
      </c>
      <c r="K10" s="2">
        <v>0</v>
      </c>
      <c r="L10" s="2">
        <v>120</v>
      </c>
      <c r="M10" s="2">
        <v>185</v>
      </c>
      <c r="N10" s="2">
        <v>74</v>
      </c>
      <c r="O10" s="35" t="s">
        <v>20</v>
      </c>
    </row>
    <row r="11" spans="1:15" x14ac:dyDescent="0.25">
      <c r="A11" s="34" t="s">
        <v>46</v>
      </c>
      <c r="B11" s="4">
        <v>23</v>
      </c>
      <c r="C11" s="3" t="s">
        <v>37</v>
      </c>
      <c r="D11" s="4" t="s">
        <v>17</v>
      </c>
      <c r="E11" s="3" t="s">
        <v>47</v>
      </c>
      <c r="F11" s="4" t="s">
        <v>19</v>
      </c>
      <c r="G11" s="4">
        <v>31</v>
      </c>
      <c r="H11" s="4">
        <v>13</v>
      </c>
      <c r="I11" s="4">
        <v>10</v>
      </c>
      <c r="J11" s="4">
        <v>2</v>
      </c>
      <c r="K11" s="4">
        <v>0</v>
      </c>
      <c r="L11" s="4">
        <v>150</v>
      </c>
      <c r="M11" s="4">
        <v>178</v>
      </c>
      <c r="N11" s="4">
        <v>72</v>
      </c>
      <c r="O11" s="36" t="s">
        <v>20</v>
      </c>
    </row>
    <row r="12" spans="1:15" x14ac:dyDescent="0.25">
      <c r="A12" s="33" t="s">
        <v>48</v>
      </c>
      <c r="B12" s="2">
        <v>27</v>
      </c>
      <c r="C12" s="1" t="s">
        <v>37</v>
      </c>
      <c r="D12" s="2" t="s">
        <v>17</v>
      </c>
      <c r="E12" s="1" t="s">
        <v>49</v>
      </c>
      <c r="F12" s="2" t="s">
        <v>50</v>
      </c>
      <c r="G12" s="2">
        <v>20</v>
      </c>
      <c r="H12" s="2">
        <v>7</v>
      </c>
      <c r="I12" s="2">
        <v>3</v>
      </c>
      <c r="J12" s="2">
        <v>2</v>
      </c>
      <c r="K12" s="2">
        <v>0</v>
      </c>
      <c r="L12" s="2">
        <v>50</v>
      </c>
      <c r="M12" s="2">
        <v>180</v>
      </c>
      <c r="N12" s="2">
        <v>70</v>
      </c>
      <c r="O12" s="35" t="s">
        <v>20</v>
      </c>
    </row>
    <row r="13" spans="1:15" x14ac:dyDescent="0.25">
      <c r="A13" s="34" t="s">
        <v>51</v>
      </c>
      <c r="B13" s="4">
        <v>30</v>
      </c>
      <c r="C13" s="3" t="s">
        <v>52</v>
      </c>
      <c r="D13" s="4" t="s">
        <v>17</v>
      </c>
      <c r="E13" s="3" t="s">
        <v>49</v>
      </c>
      <c r="F13" s="4" t="s">
        <v>45</v>
      </c>
      <c r="G13" s="4">
        <v>35</v>
      </c>
      <c r="H13" s="4">
        <v>11</v>
      </c>
      <c r="I13" s="4">
        <v>10</v>
      </c>
      <c r="J13" s="4">
        <v>9</v>
      </c>
      <c r="K13" s="4">
        <v>1</v>
      </c>
      <c r="L13" s="4">
        <v>55</v>
      </c>
      <c r="M13" s="4">
        <v>179</v>
      </c>
      <c r="N13" s="4">
        <v>69</v>
      </c>
      <c r="O13" s="36" t="s">
        <v>20</v>
      </c>
    </row>
    <row r="14" spans="1:15" x14ac:dyDescent="0.25">
      <c r="A14" s="33" t="s">
        <v>53</v>
      </c>
      <c r="B14" s="2">
        <v>32</v>
      </c>
      <c r="C14" s="1" t="s">
        <v>54</v>
      </c>
      <c r="D14" s="2" t="s">
        <v>17</v>
      </c>
      <c r="E14" s="1" t="s">
        <v>55</v>
      </c>
      <c r="F14" s="2" t="s">
        <v>50</v>
      </c>
      <c r="G14" s="2">
        <v>36</v>
      </c>
      <c r="H14" s="2">
        <v>9</v>
      </c>
      <c r="I14" s="2">
        <v>9</v>
      </c>
      <c r="J14" s="2">
        <v>3</v>
      </c>
      <c r="K14" s="2">
        <v>0</v>
      </c>
      <c r="L14" s="2">
        <v>30</v>
      </c>
      <c r="M14" s="2">
        <v>183</v>
      </c>
      <c r="N14" s="2">
        <v>78</v>
      </c>
      <c r="O14" s="35" t="s">
        <v>20</v>
      </c>
    </row>
    <row r="15" spans="1:15" x14ac:dyDescent="0.25">
      <c r="A15" s="34" t="s">
        <v>56</v>
      </c>
      <c r="B15" s="4">
        <v>24</v>
      </c>
      <c r="C15" s="3" t="s">
        <v>37</v>
      </c>
      <c r="D15" s="4" t="s">
        <v>17</v>
      </c>
      <c r="E15" s="3" t="s">
        <v>27</v>
      </c>
      <c r="F15" s="4" t="s">
        <v>45</v>
      </c>
      <c r="G15" s="4">
        <v>28</v>
      </c>
      <c r="H15" s="4">
        <v>8</v>
      </c>
      <c r="I15" s="4">
        <v>10</v>
      </c>
      <c r="J15" s="4">
        <v>3</v>
      </c>
      <c r="K15" s="4">
        <v>0</v>
      </c>
      <c r="L15" s="4">
        <v>130</v>
      </c>
      <c r="M15" s="4">
        <v>171</v>
      </c>
      <c r="N15" s="4">
        <v>69</v>
      </c>
      <c r="O15" s="36" t="s">
        <v>20</v>
      </c>
    </row>
    <row r="16" spans="1:15" x14ac:dyDescent="0.25">
      <c r="A16" s="33" t="s">
        <v>57</v>
      </c>
      <c r="B16" s="2">
        <v>26</v>
      </c>
      <c r="C16" s="1" t="s">
        <v>26</v>
      </c>
      <c r="D16" s="2" t="s">
        <v>17</v>
      </c>
      <c r="E16" s="1" t="s">
        <v>47</v>
      </c>
      <c r="F16" s="2" t="s">
        <v>45</v>
      </c>
      <c r="G16" s="2">
        <v>23</v>
      </c>
      <c r="H16" s="2">
        <v>5</v>
      </c>
      <c r="I16" s="2">
        <v>8</v>
      </c>
      <c r="J16" s="2">
        <v>3</v>
      </c>
      <c r="K16" s="2">
        <v>0</v>
      </c>
      <c r="L16" s="2">
        <v>120</v>
      </c>
      <c r="M16" s="2">
        <v>178</v>
      </c>
      <c r="N16" s="2">
        <v>68</v>
      </c>
      <c r="O16" s="35" t="s">
        <v>20</v>
      </c>
    </row>
    <row r="17" spans="1:15" x14ac:dyDescent="0.25">
      <c r="A17" s="34" t="s">
        <v>58</v>
      </c>
      <c r="B17" s="4">
        <v>33</v>
      </c>
      <c r="C17" s="3" t="s">
        <v>59</v>
      </c>
      <c r="D17" s="4" t="s">
        <v>17</v>
      </c>
      <c r="E17" s="3" t="s">
        <v>18</v>
      </c>
      <c r="F17" s="4" t="s">
        <v>60</v>
      </c>
      <c r="G17" s="4">
        <v>37</v>
      </c>
      <c r="H17" s="4">
        <v>5</v>
      </c>
      <c r="I17" s="4">
        <v>2</v>
      </c>
      <c r="J17" s="4">
        <v>4</v>
      </c>
      <c r="K17" s="4">
        <v>0</v>
      </c>
      <c r="L17" s="4">
        <v>35</v>
      </c>
      <c r="M17" s="4">
        <v>193</v>
      </c>
      <c r="N17" s="4">
        <v>92</v>
      </c>
      <c r="O17" s="36" t="s">
        <v>20</v>
      </c>
    </row>
    <row r="18" spans="1:15" x14ac:dyDescent="0.25">
      <c r="A18" s="33" t="s">
        <v>61</v>
      </c>
      <c r="B18" s="2">
        <v>26</v>
      </c>
      <c r="C18" s="1" t="s">
        <v>37</v>
      </c>
      <c r="D18" s="2" t="s">
        <v>17</v>
      </c>
      <c r="E18" s="1" t="s">
        <v>47</v>
      </c>
      <c r="F18" s="2" t="s">
        <v>62</v>
      </c>
      <c r="G18" s="2">
        <v>35</v>
      </c>
      <c r="H18" s="2">
        <v>7</v>
      </c>
      <c r="I18" s="2">
        <v>8</v>
      </c>
      <c r="J18" s="2">
        <v>8</v>
      </c>
      <c r="K18" s="2">
        <v>1</v>
      </c>
      <c r="L18" s="2">
        <v>100</v>
      </c>
      <c r="M18" s="2">
        <v>185</v>
      </c>
      <c r="N18" s="2">
        <v>80</v>
      </c>
      <c r="O18" s="35" t="s">
        <v>20</v>
      </c>
    </row>
    <row r="19" spans="1:15" x14ac:dyDescent="0.25">
      <c r="A19" s="34" t="s">
        <v>63</v>
      </c>
      <c r="B19" s="4">
        <v>26</v>
      </c>
      <c r="C19" s="3" t="s">
        <v>37</v>
      </c>
      <c r="D19" s="4" t="s">
        <v>17</v>
      </c>
      <c r="E19" s="3" t="s">
        <v>18</v>
      </c>
      <c r="F19" s="4" t="s">
        <v>64</v>
      </c>
      <c r="G19" s="4">
        <v>28</v>
      </c>
      <c r="H19" s="4">
        <v>3</v>
      </c>
      <c r="I19" s="4">
        <v>10</v>
      </c>
      <c r="J19" s="4">
        <v>3</v>
      </c>
      <c r="K19" s="4">
        <v>0</v>
      </c>
      <c r="L19" s="4">
        <v>70</v>
      </c>
      <c r="M19" s="4">
        <v>175</v>
      </c>
      <c r="N19" s="4">
        <v>69</v>
      </c>
      <c r="O19" s="36" t="s">
        <v>20</v>
      </c>
    </row>
    <row r="20" spans="1:15" x14ac:dyDescent="0.25">
      <c r="A20" s="33" t="s">
        <v>65</v>
      </c>
      <c r="B20" s="2">
        <v>29</v>
      </c>
      <c r="C20" s="1" t="s">
        <v>66</v>
      </c>
      <c r="D20" s="2" t="s">
        <v>17</v>
      </c>
      <c r="E20" s="1" t="s">
        <v>47</v>
      </c>
      <c r="F20" s="2" t="s">
        <v>67</v>
      </c>
      <c r="G20" s="2">
        <v>38</v>
      </c>
      <c r="H20" s="2">
        <v>0</v>
      </c>
      <c r="I20" s="2">
        <v>0</v>
      </c>
      <c r="J20" s="2">
        <v>2</v>
      </c>
      <c r="K20" s="2">
        <v>0</v>
      </c>
      <c r="L20" s="2">
        <v>40</v>
      </c>
      <c r="M20" s="2">
        <v>183</v>
      </c>
      <c r="N20" s="2">
        <v>79</v>
      </c>
      <c r="O20" s="35" t="s">
        <v>20</v>
      </c>
    </row>
    <row r="21" spans="1:15" x14ac:dyDescent="0.25">
      <c r="A21" s="34" t="s">
        <v>68</v>
      </c>
      <c r="B21" s="4">
        <v>32</v>
      </c>
      <c r="C21" s="3" t="s">
        <v>40</v>
      </c>
      <c r="D21" s="4" t="s">
        <v>17</v>
      </c>
      <c r="E21" s="3" t="s">
        <v>18</v>
      </c>
      <c r="F21" s="4" t="s">
        <v>67</v>
      </c>
      <c r="G21" s="4">
        <v>26</v>
      </c>
      <c r="H21" s="4">
        <v>0</v>
      </c>
      <c r="I21" s="4">
        <v>0</v>
      </c>
      <c r="J21" s="4">
        <v>1</v>
      </c>
      <c r="K21" s="4">
        <v>0</v>
      </c>
      <c r="L21" s="4">
        <v>35</v>
      </c>
      <c r="M21" s="4">
        <v>191</v>
      </c>
      <c r="N21" s="4">
        <v>91</v>
      </c>
      <c r="O21" s="36" t="s">
        <v>20</v>
      </c>
    </row>
    <row r="22" spans="1:15" x14ac:dyDescent="0.25">
      <c r="A22" s="33" t="s">
        <v>69</v>
      </c>
      <c r="B22" s="2">
        <v>31</v>
      </c>
      <c r="C22" s="1" t="s">
        <v>40</v>
      </c>
      <c r="D22" s="2" t="s">
        <v>17</v>
      </c>
      <c r="E22" s="1" t="s">
        <v>27</v>
      </c>
      <c r="F22" s="2" t="s">
        <v>67</v>
      </c>
      <c r="G22" s="2">
        <v>34</v>
      </c>
      <c r="H22" s="2">
        <v>0</v>
      </c>
      <c r="I22" s="2">
        <v>0</v>
      </c>
      <c r="J22" s="2">
        <v>2</v>
      </c>
      <c r="K22" s="2">
        <v>0</v>
      </c>
      <c r="L22" s="2">
        <v>35</v>
      </c>
      <c r="M22" s="2">
        <v>188</v>
      </c>
      <c r="N22" s="2">
        <v>86</v>
      </c>
      <c r="O22" s="35" t="s">
        <v>20</v>
      </c>
    </row>
    <row r="23" spans="1:15" x14ac:dyDescent="0.25">
      <c r="A23" s="34" t="s">
        <v>70</v>
      </c>
      <c r="B23" s="4">
        <v>32</v>
      </c>
      <c r="C23" s="3" t="s">
        <v>71</v>
      </c>
      <c r="D23" s="4" t="s">
        <v>17</v>
      </c>
      <c r="E23" s="3" t="s">
        <v>30</v>
      </c>
      <c r="F23" s="4" t="s">
        <v>67</v>
      </c>
      <c r="G23" s="4">
        <v>38</v>
      </c>
      <c r="H23" s="4">
        <v>0</v>
      </c>
      <c r="I23" s="4">
        <v>0</v>
      </c>
      <c r="J23" s="4">
        <v>1</v>
      </c>
      <c r="K23" s="4">
        <v>0</v>
      </c>
      <c r="L23" s="4">
        <v>10</v>
      </c>
      <c r="M23" s="4">
        <v>189</v>
      </c>
      <c r="N23" s="4">
        <v>86</v>
      </c>
      <c r="O23" s="36" t="s">
        <v>20</v>
      </c>
    </row>
    <row r="24" spans="1:15" x14ac:dyDescent="0.25">
      <c r="A24" s="33" t="s">
        <v>72</v>
      </c>
      <c r="B24" s="2">
        <v>33</v>
      </c>
      <c r="C24" s="1" t="s">
        <v>37</v>
      </c>
      <c r="D24" s="2" t="s">
        <v>17</v>
      </c>
      <c r="E24" s="1" t="s">
        <v>23</v>
      </c>
      <c r="F24" s="2" t="s">
        <v>67</v>
      </c>
      <c r="G24" s="2">
        <v>10</v>
      </c>
      <c r="H24" s="2">
        <v>0</v>
      </c>
      <c r="I24" s="2">
        <v>0</v>
      </c>
      <c r="J24" s="2">
        <v>1</v>
      </c>
      <c r="K24" s="2">
        <v>0</v>
      </c>
      <c r="L24" s="2">
        <v>20</v>
      </c>
      <c r="M24" s="2">
        <v>198</v>
      </c>
      <c r="N24" s="2">
        <v>88</v>
      </c>
      <c r="O24" s="35" t="s">
        <v>20</v>
      </c>
    </row>
    <row r="25" spans="1:15" x14ac:dyDescent="0.25">
      <c r="A25" s="34" t="s">
        <v>73</v>
      </c>
      <c r="B25" s="4">
        <v>27</v>
      </c>
      <c r="C25" s="3" t="s">
        <v>52</v>
      </c>
      <c r="D25" s="4" t="s">
        <v>17</v>
      </c>
      <c r="E25" s="3" t="s">
        <v>47</v>
      </c>
      <c r="F25" s="4" t="s">
        <v>74</v>
      </c>
      <c r="G25" s="4">
        <v>18</v>
      </c>
      <c r="H25" s="4">
        <v>2</v>
      </c>
      <c r="I25" s="4">
        <v>3</v>
      </c>
      <c r="J25" s="4">
        <v>3</v>
      </c>
      <c r="K25" s="4">
        <v>0</v>
      </c>
      <c r="L25" s="4">
        <v>30</v>
      </c>
      <c r="M25" s="4">
        <v>179</v>
      </c>
      <c r="N25" s="4">
        <v>75</v>
      </c>
      <c r="O25" s="36" t="s">
        <v>20</v>
      </c>
    </row>
    <row r="26" spans="1:15" x14ac:dyDescent="0.25">
      <c r="A26" s="33" t="s">
        <v>75</v>
      </c>
      <c r="B26" s="2">
        <v>34</v>
      </c>
      <c r="C26" s="1" t="s">
        <v>37</v>
      </c>
      <c r="D26" s="2" t="s">
        <v>17</v>
      </c>
      <c r="E26" s="1" t="s">
        <v>23</v>
      </c>
      <c r="F26" s="2" t="s">
        <v>64</v>
      </c>
      <c r="G26" s="2">
        <v>22</v>
      </c>
      <c r="H26" s="2">
        <v>1</v>
      </c>
      <c r="I26" s="2">
        <v>3</v>
      </c>
      <c r="J26" s="2">
        <v>3</v>
      </c>
      <c r="K26" s="2">
        <v>0</v>
      </c>
      <c r="L26" s="2">
        <v>15</v>
      </c>
      <c r="M26" s="2">
        <v>173</v>
      </c>
      <c r="N26" s="2">
        <v>73</v>
      </c>
      <c r="O26" s="35" t="s">
        <v>20</v>
      </c>
    </row>
    <row r="27" spans="1:15" x14ac:dyDescent="0.25">
      <c r="A27" s="34" t="s">
        <v>76</v>
      </c>
      <c r="B27" s="4">
        <v>25</v>
      </c>
      <c r="C27" s="3" t="s">
        <v>66</v>
      </c>
      <c r="D27" s="4" t="s">
        <v>17</v>
      </c>
      <c r="E27" s="3" t="s">
        <v>55</v>
      </c>
      <c r="F27" s="4" t="s">
        <v>64</v>
      </c>
      <c r="G27" s="4">
        <v>35</v>
      </c>
      <c r="H27" s="4">
        <v>4</v>
      </c>
      <c r="I27" s="4">
        <v>8</v>
      </c>
      <c r="J27" s="4">
        <v>5</v>
      </c>
      <c r="K27" s="4">
        <v>0</v>
      </c>
      <c r="L27" s="4">
        <v>45</v>
      </c>
      <c r="M27" s="4">
        <v>173</v>
      </c>
      <c r="N27" s="4">
        <v>69</v>
      </c>
      <c r="O27" s="36" t="s">
        <v>20</v>
      </c>
    </row>
    <row r="28" spans="1:15" x14ac:dyDescent="0.25">
      <c r="A28" s="33" t="s">
        <v>77</v>
      </c>
      <c r="B28" s="2">
        <v>27</v>
      </c>
      <c r="C28" s="1" t="s">
        <v>37</v>
      </c>
      <c r="D28" s="2" t="s">
        <v>17</v>
      </c>
      <c r="E28" s="1" t="s">
        <v>55</v>
      </c>
      <c r="F28" s="2" t="s">
        <v>24</v>
      </c>
      <c r="G28" s="2">
        <v>34</v>
      </c>
      <c r="H28" s="2">
        <v>9</v>
      </c>
      <c r="I28" s="2">
        <v>5</v>
      </c>
      <c r="J28" s="2">
        <v>3</v>
      </c>
      <c r="K28" s="2">
        <v>0</v>
      </c>
      <c r="L28" s="2">
        <v>40</v>
      </c>
      <c r="M28" s="2">
        <v>186</v>
      </c>
      <c r="N28" s="2">
        <v>79</v>
      </c>
      <c r="O28" s="35" t="s">
        <v>20</v>
      </c>
    </row>
    <row r="29" spans="1:15" x14ac:dyDescent="0.25">
      <c r="A29" s="34" t="s">
        <v>78</v>
      </c>
      <c r="B29" s="4">
        <v>28</v>
      </c>
      <c r="C29" s="3" t="s">
        <v>37</v>
      </c>
      <c r="D29" s="4" t="s">
        <v>17</v>
      </c>
      <c r="E29" s="3" t="s">
        <v>79</v>
      </c>
      <c r="F29" s="4" t="s">
        <v>19</v>
      </c>
      <c r="G29" s="4">
        <v>36</v>
      </c>
      <c r="H29" s="4">
        <v>12</v>
      </c>
      <c r="I29" s="4">
        <v>7</v>
      </c>
      <c r="J29" s="4">
        <v>4</v>
      </c>
      <c r="K29" s="4">
        <v>0</v>
      </c>
      <c r="L29" s="4">
        <v>45</v>
      </c>
      <c r="M29" s="4">
        <v>175</v>
      </c>
      <c r="N29" s="4">
        <v>72</v>
      </c>
      <c r="O29" s="36" t="s">
        <v>20</v>
      </c>
    </row>
    <row r="30" spans="1:15" x14ac:dyDescent="0.25">
      <c r="A30" s="33" t="s">
        <v>80</v>
      </c>
      <c r="B30" s="2">
        <v>28</v>
      </c>
      <c r="C30" s="1" t="s">
        <v>37</v>
      </c>
      <c r="D30" s="2" t="s">
        <v>17</v>
      </c>
      <c r="E30" s="1" t="s">
        <v>55</v>
      </c>
      <c r="F30" s="2" t="s">
        <v>45</v>
      </c>
      <c r="G30" s="2">
        <v>29</v>
      </c>
      <c r="H30" s="2">
        <v>4</v>
      </c>
      <c r="I30" s="2">
        <v>8</v>
      </c>
      <c r="J30" s="2">
        <v>4</v>
      </c>
      <c r="K30" s="2">
        <v>0</v>
      </c>
      <c r="L30" s="2">
        <v>40</v>
      </c>
      <c r="M30" s="2">
        <v>175</v>
      </c>
      <c r="N30" s="2">
        <v>72</v>
      </c>
      <c r="O30" s="35" t="s">
        <v>20</v>
      </c>
    </row>
    <row r="31" spans="1:15" x14ac:dyDescent="0.25">
      <c r="A31" s="34" t="s">
        <v>81</v>
      </c>
      <c r="B31" s="4">
        <v>26</v>
      </c>
      <c r="C31" s="3" t="s">
        <v>37</v>
      </c>
      <c r="D31" s="4" t="s">
        <v>17</v>
      </c>
      <c r="E31" s="3" t="s">
        <v>23</v>
      </c>
      <c r="F31" s="4" t="s">
        <v>50</v>
      </c>
      <c r="G31" s="4">
        <v>30</v>
      </c>
      <c r="H31" s="4">
        <v>6</v>
      </c>
      <c r="I31" s="4">
        <v>4</v>
      </c>
      <c r="J31" s="4">
        <v>2</v>
      </c>
      <c r="K31" s="4">
        <v>0</v>
      </c>
      <c r="L31" s="4">
        <v>30</v>
      </c>
      <c r="M31" s="4">
        <v>178</v>
      </c>
      <c r="N31" s="4">
        <v>71</v>
      </c>
      <c r="O31" s="36" t="s">
        <v>20</v>
      </c>
    </row>
    <row r="32" spans="1:15" x14ac:dyDescent="0.25">
      <c r="A32" s="33" t="s">
        <v>82</v>
      </c>
      <c r="B32" s="2">
        <v>23</v>
      </c>
      <c r="C32" s="1" t="s">
        <v>40</v>
      </c>
      <c r="D32" s="2" t="s">
        <v>17</v>
      </c>
      <c r="E32" s="1" t="s">
        <v>47</v>
      </c>
      <c r="F32" s="2" t="s">
        <v>50</v>
      </c>
      <c r="G32" s="2">
        <v>30</v>
      </c>
      <c r="H32" s="2">
        <v>6</v>
      </c>
      <c r="I32" s="2">
        <v>7</v>
      </c>
      <c r="J32" s="2">
        <v>3</v>
      </c>
      <c r="K32" s="2">
        <v>0</v>
      </c>
      <c r="L32" s="2">
        <v>70</v>
      </c>
      <c r="M32" s="2">
        <v>175</v>
      </c>
      <c r="N32" s="2">
        <v>75</v>
      </c>
      <c r="O32" s="35" t="s">
        <v>20</v>
      </c>
    </row>
    <row r="33" spans="1:15" x14ac:dyDescent="0.25">
      <c r="A33" s="34" t="s">
        <v>83</v>
      </c>
      <c r="B33" s="4">
        <v>30</v>
      </c>
      <c r="C33" s="3" t="s">
        <v>71</v>
      </c>
      <c r="D33" s="4" t="s">
        <v>17</v>
      </c>
      <c r="E33" s="3" t="s">
        <v>47</v>
      </c>
      <c r="F33" s="4" t="s">
        <v>50</v>
      </c>
      <c r="G33" s="4">
        <v>34</v>
      </c>
      <c r="H33" s="4">
        <v>8</v>
      </c>
      <c r="I33" s="4">
        <v>6</v>
      </c>
      <c r="J33" s="4">
        <v>4</v>
      </c>
      <c r="K33" s="4">
        <v>0</v>
      </c>
      <c r="L33" s="4">
        <v>35</v>
      </c>
      <c r="M33" s="4">
        <v>173</v>
      </c>
      <c r="N33" s="4">
        <v>67</v>
      </c>
      <c r="O33" s="36" t="s">
        <v>20</v>
      </c>
    </row>
    <row r="34" spans="1:15" x14ac:dyDescent="0.25">
      <c r="A34" s="33" t="s">
        <v>84</v>
      </c>
      <c r="B34" s="2">
        <v>27</v>
      </c>
      <c r="C34" s="1" t="s">
        <v>40</v>
      </c>
      <c r="D34" s="2" t="s">
        <v>17</v>
      </c>
      <c r="E34" s="1" t="s">
        <v>47</v>
      </c>
      <c r="F34" s="2" t="s">
        <v>60</v>
      </c>
      <c r="G34" s="2">
        <v>33</v>
      </c>
      <c r="H34" s="2">
        <v>5</v>
      </c>
      <c r="I34" s="2">
        <v>1</v>
      </c>
      <c r="J34" s="2">
        <v>5</v>
      </c>
      <c r="K34" s="2">
        <v>0</v>
      </c>
      <c r="L34" s="2">
        <v>65</v>
      </c>
      <c r="M34" s="2">
        <v>191</v>
      </c>
      <c r="N34" s="2">
        <v>86</v>
      </c>
      <c r="O34" s="35" t="s">
        <v>20</v>
      </c>
    </row>
    <row r="35" spans="1:15" x14ac:dyDescent="0.25">
      <c r="A35" s="34" t="s">
        <v>85</v>
      </c>
      <c r="B35" s="4">
        <v>24</v>
      </c>
      <c r="C35" s="3" t="s">
        <v>86</v>
      </c>
      <c r="D35" s="4" t="s">
        <v>17</v>
      </c>
      <c r="E35" s="3" t="s">
        <v>47</v>
      </c>
      <c r="F35" s="4" t="s">
        <v>60</v>
      </c>
      <c r="G35" s="4">
        <v>35</v>
      </c>
      <c r="H35" s="4">
        <v>2</v>
      </c>
      <c r="I35" s="4">
        <v>2</v>
      </c>
      <c r="J35" s="4">
        <v>3</v>
      </c>
      <c r="K35" s="4">
        <v>0</v>
      </c>
      <c r="L35" s="4">
        <v>90</v>
      </c>
      <c r="M35" s="4">
        <v>192</v>
      </c>
      <c r="N35" s="4">
        <v>87</v>
      </c>
      <c r="O35" s="36" t="s">
        <v>20</v>
      </c>
    </row>
    <row r="36" spans="1:15" x14ac:dyDescent="0.25">
      <c r="A36" s="33" t="s">
        <v>87</v>
      </c>
      <c r="B36" s="2">
        <v>25</v>
      </c>
      <c r="C36" s="1" t="s">
        <v>86</v>
      </c>
      <c r="D36" s="2" t="s">
        <v>17</v>
      </c>
      <c r="E36" s="1" t="s">
        <v>18</v>
      </c>
      <c r="F36" s="2" t="s">
        <v>60</v>
      </c>
      <c r="G36" s="2">
        <v>29</v>
      </c>
      <c r="H36" s="2">
        <v>3</v>
      </c>
      <c r="I36" s="2">
        <v>0</v>
      </c>
      <c r="J36" s="2">
        <v>3</v>
      </c>
      <c r="K36" s="2">
        <v>0</v>
      </c>
      <c r="L36" s="2">
        <v>65</v>
      </c>
      <c r="M36" s="2">
        <v>194</v>
      </c>
      <c r="N36" s="2">
        <v>91</v>
      </c>
      <c r="O36" s="35" t="s">
        <v>20</v>
      </c>
    </row>
    <row r="37" spans="1:15" x14ac:dyDescent="0.25">
      <c r="A37" s="34" t="s">
        <v>88</v>
      </c>
      <c r="B37" s="4">
        <v>31</v>
      </c>
      <c r="C37" s="3" t="s">
        <v>89</v>
      </c>
      <c r="D37" s="4" t="s">
        <v>17</v>
      </c>
      <c r="E37" s="3" t="s">
        <v>18</v>
      </c>
      <c r="F37" s="4" t="s">
        <v>90</v>
      </c>
      <c r="G37" s="4">
        <v>26</v>
      </c>
      <c r="H37" s="4">
        <v>1</v>
      </c>
      <c r="I37" s="4">
        <v>5</v>
      </c>
      <c r="J37" s="4">
        <v>4</v>
      </c>
      <c r="K37" s="4">
        <v>0</v>
      </c>
      <c r="L37" s="4">
        <v>30</v>
      </c>
      <c r="M37" s="4">
        <v>178</v>
      </c>
      <c r="N37" s="4">
        <v>70</v>
      </c>
      <c r="O37" s="36" t="s">
        <v>20</v>
      </c>
    </row>
    <row r="38" spans="1:15" x14ac:dyDescent="0.25">
      <c r="A38" s="33" t="s">
        <v>91</v>
      </c>
      <c r="B38" s="2">
        <v>25</v>
      </c>
      <c r="C38" s="1" t="s">
        <v>37</v>
      </c>
      <c r="D38" s="2" t="s">
        <v>17</v>
      </c>
      <c r="E38" s="1" t="s">
        <v>44</v>
      </c>
      <c r="F38" s="2" t="s">
        <v>64</v>
      </c>
      <c r="G38" s="2">
        <v>18</v>
      </c>
      <c r="H38" s="2">
        <v>1</v>
      </c>
      <c r="I38" s="2">
        <v>4</v>
      </c>
      <c r="J38" s="2">
        <v>2</v>
      </c>
      <c r="K38" s="2">
        <v>0</v>
      </c>
      <c r="L38" s="2">
        <v>55</v>
      </c>
      <c r="M38" s="2">
        <v>180</v>
      </c>
      <c r="N38" s="2">
        <v>76</v>
      </c>
      <c r="O38" s="35" t="s">
        <v>20</v>
      </c>
    </row>
    <row r="39" spans="1:15" x14ac:dyDescent="0.25">
      <c r="A39" s="34" t="s">
        <v>92</v>
      </c>
      <c r="B39" s="4">
        <v>23</v>
      </c>
      <c r="C39" s="3" t="s">
        <v>93</v>
      </c>
      <c r="D39" s="4" t="s">
        <v>17</v>
      </c>
      <c r="E39" s="3" t="s">
        <v>44</v>
      </c>
      <c r="F39" s="4" t="s">
        <v>62</v>
      </c>
      <c r="G39" s="4">
        <v>32</v>
      </c>
      <c r="H39" s="4">
        <v>3</v>
      </c>
      <c r="I39" s="4">
        <v>4</v>
      </c>
      <c r="J39" s="4">
        <v>8</v>
      </c>
      <c r="K39" s="4">
        <v>0</v>
      </c>
      <c r="L39" s="4">
        <v>80</v>
      </c>
      <c r="M39" s="4">
        <v>178</v>
      </c>
      <c r="N39" s="4">
        <v>75</v>
      </c>
      <c r="O39" s="36" t="s">
        <v>20</v>
      </c>
    </row>
    <row r="40" spans="1:15" x14ac:dyDescent="0.25">
      <c r="A40" s="33" t="s">
        <v>94</v>
      </c>
      <c r="B40" s="2">
        <v>24</v>
      </c>
      <c r="C40" s="1" t="s">
        <v>95</v>
      </c>
      <c r="D40" s="2" t="s">
        <v>17</v>
      </c>
      <c r="E40" s="1" t="s">
        <v>44</v>
      </c>
      <c r="F40" s="2" t="s">
        <v>74</v>
      </c>
      <c r="G40" s="2">
        <v>27</v>
      </c>
      <c r="H40" s="2">
        <v>3</v>
      </c>
      <c r="I40" s="2">
        <v>5</v>
      </c>
      <c r="J40" s="2">
        <v>5</v>
      </c>
      <c r="K40" s="2">
        <v>0</v>
      </c>
      <c r="L40" s="2">
        <v>65</v>
      </c>
      <c r="M40" s="2">
        <v>178</v>
      </c>
      <c r="N40" s="2">
        <v>77</v>
      </c>
      <c r="O40" s="35" t="s">
        <v>20</v>
      </c>
    </row>
    <row r="41" spans="1:15" x14ac:dyDescent="0.25">
      <c r="A41" s="34" t="s">
        <v>96</v>
      </c>
      <c r="B41" s="4">
        <v>22</v>
      </c>
      <c r="C41" s="3" t="s">
        <v>37</v>
      </c>
      <c r="D41" s="4" t="s">
        <v>17</v>
      </c>
      <c r="E41" s="3" t="s">
        <v>44</v>
      </c>
      <c r="F41" s="4" t="s">
        <v>19</v>
      </c>
      <c r="G41" s="4">
        <v>29</v>
      </c>
      <c r="H41" s="4">
        <v>11</v>
      </c>
      <c r="I41" s="4">
        <v>5</v>
      </c>
      <c r="J41" s="4">
        <v>3</v>
      </c>
      <c r="K41" s="4">
        <v>0</v>
      </c>
      <c r="L41" s="4">
        <v>50</v>
      </c>
      <c r="M41" s="4">
        <v>178</v>
      </c>
      <c r="N41" s="4">
        <v>71</v>
      </c>
      <c r="O41" s="36" t="s">
        <v>20</v>
      </c>
    </row>
    <row r="42" spans="1:15" x14ac:dyDescent="0.25">
      <c r="A42" s="33" t="s">
        <v>97</v>
      </c>
      <c r="B42" s="2">
        <v>29</v>
      </c>
      <c r="C42" s="1" t="s">
        <v>37</v>
      </c>
      <c r="D42" s="2" t="s">
        <v>17</v>
      </c>
      <c r="E42" s="1" t="s">
        <v>23</v>
      </c>
      <c r="F42" s="2" t="s">
        <v>19</v>
      </c>
      <c r="G42" s="2">
        <v>36</v>
      </c>
      <c r="H42" s="2">
        <v>7</v>
      </c>
      <c r="I42" s="2">
        <v>12</v>
      </c>
      <c r="J42" s="2">
        <v>3</v>
      </c>
      <c r="K42" s="2">
        <v>0</v>
      </c>
      <c r="L42" s="2">
        <v>20</v>
      </c>
      <c r="M42" s="2">
        <v>178</v>
      </c>
      <c r="N42" s="2">
        <v>72</v>
      </c>
      <c r="O42" s="35" t="s">
        <v>20</v>
      </c>
    </row>
    <row r="43" spans="1:15" x14ac:dyDescent="0.25">
      <c r="A43" s="34" t="s">
        <v>98</v>
      </c>
      <c r="B43" s="4">
        <v>22</v>
      </c>
      <c r="C43" s="3" t="s">
        <v>22</v>
      </c>
      <c r="D43" s="4" t="s">
        <v>17</v>
      </c>
      <c r="E43" s="3" t="s">
        <v>30</v>
      </c>
      <c r="F43" s="4" t="s">
        <v>50</v>
      </c>
      <c r="G43" s="4">
        <v>36</v>
      </c>
      <c r="H43" s="4">
        <v>6</v>
      </c>
      <c r="I43" s="4">
        <v>11</v>
      </c>
      <c r="J43" s="4">
        <v>3</v>
      </c>
      <c r="K43" s="4">
        <v>0</v>
      </c>
      <c r="L43" s="4">
        <v>40</v>
      </c>
      <c r="M43" s="4">
        <v>176</v>
      </c>
      <c r="N43" s="4">
        <v>72</v>
      </c>
      <c r="O43" s="36" t="s">
        <v>20</v>
      </c>
    </row>
    <row r="44" spans="1:15" x14ac:dyDescent="0.25">
      <c r="A44" s="33" t="s">
        <v>99</v>
      </c>
      <c r="B44" s="2">
        <v>22</v>
      </c>
      <c r="C44" s="1" t="s">
        <v>37</v>
      </c>
      <c r="D44" s="2" t="s">
        <v>17</v>
      </c>
      <c r="E44" s="1" t="s">
        <v>38</v>
      </c>
      <c r="F44" s="2" t="s">
        <v>45</v>
      </c>
      <c r="G44" s="2">
        <v>35</v>
      </c>
      <c r="H44" s="2">
        <v>8</v>
      </c>
      <c r="I44" s="2">
        <v>10</v>
      </c>
      <c r="J44" s="2">
        <v>4</v>
      </c>
      <c r="K44" s="2">
        <v>0</v>
      </c>
      <c r="L44" s="2">
        <v>50</v>
      </c>
      <c r="M44" s="2">
        <v>183</v>
      </c>
      <c r="N44" s="2">
        <v>77</v>
      </c>
      <c r="O44" s="35" t="s">
        <v>20</v>
      </c>
    </row>
    <row r="45" spans="1:15" x14ac:dyDescent="0.25">
      <c r="A45" s="34" t="s">
        <v>100</v>
      </c>
      <c r="B45" s="4">
        <v>27</v>
      </c>
      <c r="C45" s="3" t="s">
        <v>101</v>
      </c>
      <c r="D45" s="4" t="s">
        <v>17</v>
      </c>
      <c r="E45" s="3" t="s">
        <v>102</v>
      </c>
      <c r="F45" s="4" t="s">
        <v>90</v>
      </c>
      <c r="G45" s="4">
        <v>35</v>
      </c>
      <c r="H45" s="4">
        <v>4</v>
      </c>
      <c r="I45" s="4">
        <v>10</v>
      </c>
      <c r="J45" s="4">
        <v>5</v>
      </c>
      <c r="K45" s="4">
        <v>0</v>
      </c>
      <c r="L45" s="4">
        <v>30</v>
      </c>
      <c r="M45" s="4">
        <v>181</v>
      </c>
      <c r="N45" s="4">
        <v>70</v>
      </c>
      <c r="O45" s="36" t="s">
        <v>20</v>
      </c>
    </row>
    <row r="46" spans="1:15" x14ac:dyDescent="0.25">
      <c r="A46" s="33" t="s">
        <v>103</v>
      </c>
      <c r="B46" s="2">
        <v>24</v>
      </c>
      <c r="C46" s="1" t="s">
        <v>104</v>
      </c>
      <c r="D46" s="2" t="s">
        <v>17</v>
      </c>
      <c r="E46" s="1" t="s">
        <v>33</v>
      </c>
      <c r="F46" s="2" t="s">
        <v>74</v>
      </c>
      <c r="G46" s="2">
        <v>35</v>
      </c>
      <c r="H46" s="2">
        <v>6</v>
      </c>
      <c r="I46" s="2">
        <v>10</v>
      </c>
      <c r="J46" s="2">
        <v>4</v>
      </c>
      <c r="K46" s="2">
        <v>0</v>
      </c>
      <c r="L46" s="2">
        <v>30</v>
      </c>
      <c r="M46" s="2">
        <v>181</v>
      </c>
      <c r="N46" s="2">
        <v>75</v>
      </c>
      <c r="O46" s="35" t="s">
        <v>20</v>
      </c>
    </row>
    <row r="47" spans="1:15" x14ac:dyDescent="0.25">
      <c r="A47" s="34" t="s">
        <v>105</v>
      </c>
      <c r="B47" s="4">
        <v>27</v>
      </c>
      <c r="C47" s="3" t="s">
        <v>86</v>
      </c>
      <c r="D47" s="4" t="s">
        <v>17</v>
      </c>
      <c r="E47" s="3" t="s">
        <v>106</v>
      </c>
      <c r="F47" s="4" t="s">
        <v>24</v>
      </c>
      <c r="G47" s="4">
        <v>35</v>
      </c>
      <c r="H47" s="4">
        <v>14</v>
      </c>
      <c r="I47" s="4">
        <v>4</v>
      </c>
      <c r="J47" s="4">
        <v>3</v>
      </c>
      <c r="K47" s="4">
        <v>0</v>
      </c>
      <c r="L47" s="4">
        <v>30</v>
      </c>
      <c r="M47" s="4">
        <v>188</v>
      </c>
      <c r="N47" s="4">
        <v>83</v>
      </c>
      <c r="O47" s="36" t="s">
        <v>20</v>
      </c>
    </row>
    <row r="48" spans="1:15" x14ac:dyDescent="0.25">
      <c r="A48" s="33" t="s">
        <v>107</v>
      </c>
      <c r="B48" s="2">
        <v>33</v>
      </c>
      <c r="C48" s="1" t="s">
        <v>108</v>
      </c>
      <c r="D48" s="2" t="s">
        <v>17</v>
      </c>
      <c r="E48" s="1" t="s">
        <v>102</v>
      </c>
      <c r="F48" s="2" t="s">
        <v>24</v>
      </c>
      <c r="G48" s="2">
        <v>29</v>
      </c>
      <c r="H48" s="2">
        <v>10</v>
      </c>
      <c r="I48" s="2">
        <v>6</v>
      </c>
      <c r="J48" s="2">
        <v>2</v>
      </c>
      <c r="K48" s="2">
        <v>0</v>
      </c>
      <c r="L48" s="2">
        <v>12</v>
      </c>
      <c r="M48" s="2">
        <v>190</v>
      </c>
      <c r="N48" s="2">
        <v>85</v>
      </c>
      <c r="O48" s="35" t="s">
        <v>20</v>
      </c>
    </row>
    <row r="49" spans="1:15" x14ac:dyDescent="0.25">
      <c r="A49" s="34" t="s">
        <v>109</v>
      </c>
      <c r="B49" s="4">
        <v>29</v>
      </c>
      <c r="C49" s="3" t="s">
        <v>40</v>
      </c>
      <c r="D49" s="4" t="s">
        <v>17</v>
      </c>
      <c r="E49" s="3" t="s">
        <v>102</v>
      </c>
      <c r="F49" s="4" t="s">
        <v>45</v>
      </c>
      <c r="G49" s="4">
        <v>34</v>
      </c>
      <c r="H49" s="4">
        <v>5</v>
      </c>
      <c r="I49" s="4">
        <v>8</v>
      </c>
      <c r="J49" s="4">
        <v>5</v>
      </c>
      <c r="K49" s="4">
        <v>0</v>
      </c>
      <c r="L49" s="4">
        <v>22</v>
      </c>
      <c r="M49" s="4">
        <v>178</v>
      </c>
      <c r="N49" s="4">
        <v>72</v>
      </c>
      <c r="O49" s="36" t="s">
        <v>20</v>
      </c>
    </row>
    <row r="50" spans="1:15" x14ac:dyDescent="0.25">
      <c r="A50" s="33" t="s">
        <v>110</v>
      </c>
      <c r="B50" s="2">
        <v>33</v>
      </c>
      <c r="C50" s="1" t="s">
        <v>37</v>
      </c>
      <c r="D50" s="2" t="s">
        <v>17</v>
      </c>
      <c r="E50" s="1" t="s">
        <v>23</v>
      </c>
      <c r="F50" s="2" t="s">
        <v>24</v>
      </c>
      <c r="G50" s="2">
        <v>15</v>
      </c>
      <c r="H50" s="2">
        <v>5</v>
      </c>
      <c r="I50" s="2">
        <v>2</v>
      </c>
      <c r="J50" s="2">
        <v>1</v>
      </c>
      <c r="K50" s="2">
        <v>0</v>
      </c>
      <c r="L50" s="2">
        <v>8</v>
      </c>
      <c r="M50" s="2">
        <v>183</v>
      </c>
      <c r="N50" s="2">
        <v>79</v>
      </c>
      <c r="O50" s="35" t="s">
        <v>20</v>
      </c>
    </row>
    <row r="51" spans="1:15" x14ac:dyDescent="0.25">
      <c r="A51" s="34" t="s">
        <v>111</v>
      </c>
      <c r="B51" s="4">
        <v>24</v>
      </c>
      <c r="C51" s="3" t="s">
        <v>37</v>
      </c>
      <c r="D51" s="4" t="s">
        <v>17</v>
      </c>
      <c r="E51" s="3" t="s">
        <v>102</v>
      </c>
      <c r="F51" s="4" t="s">
        <v>45</v>
      </c>
      <c r="G51" s="4">
        <v>32</v>
      </c>
      <c r="H51" s="4">
        <v>8</v>
      </c>
      <c r="I51" s="4">
        <v>4</v>
      </c>
      <c r="J51" s="4">
        <v>3</v>
      </c>
      <c r="K51" s="4">
        <v>0</v>
      </c>
      <c r="L51" s="4">
        <v>35</v>
      </c>
      <c r="M51" s="4">
        <v>178</v>
      </c>
      <c r="N51" s="4">
        <v>70</v>
      </c>
      <c r="O51" s="36" t="s">
        <v>20</v>
      </c>
    </row>
    <row r="52" spans="1:15" x14ac:dyDescent="0.25">
      <c r="A52" s="33" t="s">
        <v>112</v>
      </c>
      <c r="B52" s="2">
        <v>26</v>
      </c>
      <c r="C52" s="1" t="s">
        <v>86</v>
      </c>
      <c r="D52" s="2" t="s">
        <v>113</v>
      </c>
      <c r="E52" s="1" t="s">
        <v>114</v>
      </c>
      <c r="F52" s="2" t="s">
        <v>24</v>
      </c>
      <c r="G52" s="2">
        <v>34</v>
      </c>
      <c r="H52" s="2">
        <v>31</v>
      </c>
      <c r="I52" s="2">
        <v>9</v>
      </c>
      <c r="J52" s="2">
        <v>5</v>
      </c>
      <c r="K52" s="2">
        <v>1</v>
      </c>
      <c r="L52" s="2">
        <v>180</v>
      </c>
      <c r="M52" s="2">
        <v>178</v>
      </c>
      <c r="N52" s="2">
        <v>73</v>
      </c>
      <c r="O52" s="35" t="s">
        <v>20</v>
      </c>
    </row>
    <row r="53" spans="1:15" x14ac:dyDescent="0.25">
      <c r="A53" s="34" t="s">
        <v>115</v>
      </c>
      <c r="B53" s="4">
        <v>36</v>
      </c>
      <c r="C53" s="3" t="s">
        <v>116</v>
      </c>
      <c r="D53" s="4" t="s">
        <v>113</v>
      </c>
      <c r="E53" s="3" t="s">
        <v>117</v>
      </c>
      <c r="F53" s="4" t="s">
        <v>24</v>
      </c>
      <c r="G53" s="4">
        <v>35</v>
      </c>
      <c r="H53" s="4">
        <v>27</v>
      </c>
      <c r="I53" s="4">
        <v>8</v>
      </c>
      <c r="J53" s="4">
        <v>5</v>
      </c>
      <c r="K53" s="4">
        <v>0</v>
      </c>
      <c r="L53" s="4">
        <v>20</v>
      </c>
      <c r="M53" s="4">
        <v>185</v>
      </c>
      <c r="N53" s="4">
        <v>81</v>
      </c>
      <c r="O53" s="36" t="s">
        <v>20</v>
      </c>
    </row>
    <row r="54" spans="1:15" x14ac:dyDescent="0.25">
      <c r="A54" s="33" t="s">
        <v>118</v>
      </c>
      <c r="B54" s="2">
        <v>24</v>
      </c>
      <c r="C54" s="1" t="s">
        <v>40</v>
      </c>
      <c r="D54" s="2" t="s">
        <v>113</v>
      </c>
      <c r="E54" s="1" t="s">
        <v>114</v>
      </c>
      <c r="F54" s="2" t="s">
        <v>50</v>
      </c>
      <c r="G54" s="2">
        <v>30</v>
      </c>
      <c r="H54" s="2">
        <v>16</v>
      </c>
      <c r="I54" s="2">
        <v>10</v>
      </c>
      <c r="J54" s="2">
        <v>8</v>
      </c>
      <c r="K54" s="2">
        <v>1</v>
      </c>
      <c r="L54" s="2">
        <v>200</v>
      </c>
      <c r="M54" s="2">
        <v>176</v>
      </c>
      <c r="N54" s="2">
        <v>73</v>
      </c>
      <c r="O54" s="35" t="s">
        <v>20</v>
      </c>
    </row>
    <row r="55" spans="1:15" x14ac:dyDescent="0.25">
      <c r="A55" s="34" t="s">
        <v>119</v>
      </c>
      <c r="B55" s="4">
        <v>28</v>
      </c>
      <c r="C55" s="3" t="s">
        <v>40</v>
      </c>
      <c r="D55" s="4" t="s">
        <v>113</v>
      </c>
      <c r="E55" s="3" t="s">
        <v>117</v>
      </c>
      <c r="F55" s="4" t="s">
        <v>19</v>
      </c>
      <c r="G55" s="4">
        <v>36</v>
      </c>
      <c r="H55" s="4">
        <v>18</v>
      </c>
      <c r="I55" s="4">
        <v>13</v>
      </c>
      <c r="J55" s="4">
        <v>7</v>
      </c>
      <c r="K55" s="4">
        <v>0</v>
      </c>
      <c r="L55" s="4">
        <v>100</v>
      </c>
      <c r="M55" s="4">
        <v>176</v>
      </c>
      <c r="N55" s="4">
        <v>70</v>
      </c>
      <c r="O55" s="36" t="s">
        <v>20</v>
      </c>
    </row>
    <row r="56" spans="1:15" x14ac:dyDescent="0.25">
      <c r="A56" s="33" t="s">
        <v>120</v>
      </c>
      <c r="B56" s="2">
        <v>17</v>
      </c>
      <c r="C56" s="1" t="s">
        <v>66</v>
      </c>
      <c r="D56" s="2" t="s">
        <v>113</v>
      </c>
      <c r="E56" s="1" t="s">
        <v>117</v>
      </c>
      <c r="F56" s="2" t="s">
        <v>19</v>
      </c>
      <c r="G56" s="2">
        <v>34</v>
      </c>
      <c r="H56" s="2">
        <v>12</v>
      </c>
      <c r="I56" s="2">
        <v>18</v>
      </c>
      <c r="J56" s="2">
        <v>5</v>
      </c>
      <c r="K56" s="2">
        <v>0</v>
      </c>
      <c r="L56" s="2">
        <v>250</v>
      </c>
      <c r="M56" s="2">
        <v>176</v>
      </c>
      <c r="N56" s="2">
        <v>65</v>
      </c>
      <c r="O56" s="35" t="s">
        <v>20</v>
      </c>
    </row>
    <row r="57" spans="1:15" x14ac:dyDescent="0.25">
      <c r="A57" s="34" t="s">
        <v>121</v>
      </c>
      <c r="B57" s="4">
        <v>22</v>
      </c>
      <c r="C57" s="3" t="s">
        <v>66</v>
      </c>
      <c r="D57" s="4" t="s">
        <v>113</v>
      </c>
      <c r="E57" s="3" t="s">
        <v>117</v>
      </c>
      <c r="F57" s="4" t="s">
        <v>74</v>
      </c>
      <c r="G57" s="4">
        <v>31</v>
      </c>
      <c r="H57" s="4">
        <v>8</v>
      </c>
      <c r="I57" s="4">
        <v>10</v>
      </c>
      <c r="J57" s="4">
        <v>6</v>
      </c>
      <c r="K57" s="4">
        <v>0</v>
      </c>
      <c r="L57" s="4">
        <v>180</v>
      </c>
      <c r="M57" s="4">
        <v>174</v>
      </c>
      <c r="N57" s="4">
        <v>60</v>
      </c>
      <c r="O57" s="36" t="s">
        <v>20</v>
      </c>
    </row>
    <row r="58" spans="1:15" x14ac:dyDescent="0.25">
      <c r="A58" s="33" t="s">
        <v>122</v>
      </c>
      <c r="B58" s="2">
        <v>21</v>
      </c>
      <c r="C58" s="1" t="s">
        <v>37</v>
      </c>
      <c r="D58" s="2" t="s">
        <v>113</v>
      </c>
      <c r="E58" s="1" t="s">
        <v>114</v>
      </c>
      <c r="F58" s="2" t="s">
        <v>45</v>
      </c>
      <c r="G58" s="2">
        <v>32</v>
      </c>
      <c r="H58" s="2">
        <v>16</v>
      </c>
      <c r="I58" s="2">
        <v>10</v>
      </c>
      <c r="J58" s="2">
        <v>7</v>
      </c>
      <c r="K58" s="2">
        <v>0</v>
      </c>
      <c r="L58" s="2">
        <v>200</v>
      </c>
      <c r="M58" s="2">
        <v>186</v>
      </c>
      <c r="N58" s="2">
        <v>83</v>
      </c>
      <c r="O58" s="35" t="s">
        <v>20</v>
      </c>
    </row>
    <row r="59" spans="1:15" x14ac:dyDescent="0.25">
      <c r="A59" s="34" t="s">
        <v>123</v>
      </c>
      <c r="B59" s="4">
        <v>24</v>
      </c>
      <c r="C59" s="3" t="s">
        <v>40</v>
      </c>
      <c r="D59" s="4" t="s">
        <v>113</v>
      </c>
      <c r="E59" s="3" t="s">
        <v>114</v>
      </c>
      <c r="F59" s="4" t="s">
        <v>19</v>
      </c>
      <c r="G59" s="4">
        <v>36</v>
      </c>
      <c r="H59" s="4">
        <v>12</v>
      </c>
      <c r="I59" s="4">
        <v>9</v>
      </c>
      <c r="J59" s="4">
        <v>3</v>
      </c>
      <c r="K59" s="4">
        <v>0</v>
      </c>
      <c r="L59" s="4">
        <v>120</v>
      </c>
      <c r="M59" s="4">
        <v>174</v>
      </c>
      <c r="N59" s="4">
        <v>68</v>
      </c>
      <c r="O59" s="36" t="s">
        <v>20</v>
      </c>
    </row>
    <row r="60" spans="1:15" x14ac:dyDescent="0.25">
      <c r="A60" s="33" t="s">
        <v>124</v>
      </c>
      <c r="B60" s="2">
        <v>33</v>
      </c>
      <c r="C60" s="1" t="s">
        <v>86</v>
      </c>
      <c r="D60" s="2" t="s">
        <v>113</v>
      </c>
      <c r="E60" s="1" t="s">
        <v>125</v>
      </c>
      <c r="F60" s="2" t="s">
        <v>42</v>
      </c>
      <c r="G60" s="2">
        <v>37</v>
      </c>
      <c r="H60" s="2">
        <v>14</v>
      </c>
      <c r="I60" s="2">
        <v>12</v>
      </c>
      <c r="J60" s="2">
        <v>5</v>
      </c>
      <c r="K60" s="2">
        <v>0</v>
      </c>
      <c r="L60" s="2">
        <v>25</v>
      </c>
      <c r="M60" s="2">
        <v>176</v>
      </c>
      <c r="N60" s="2">
        <v>73</v>
      </c>
      <c r="O60" s="35" t="s">
        <v>20</v>
      </c>
    </row>
    <row r="61" spans="1:15" x14ac:dyDescent="0.25">
      <c r="A61" s="34" t="s">
        <v>126</v>
      </c>
      <c r="B61" s="4">
        <v>25</v>
      </c>
      <c r="C61" s="3" t="s">
        <v>95</v>
      </c>
      <c r="D61" s="4" t="s">
        <v>113</v>
      </c>
      <c r="E61" s="3" t="s">
        <v>125</v>
      </c>
      <c r="F61" s="4" t="s">
        <v>24</v>
      </c>
      <c r="G61" s="4">
        <v>37</v>
      </c>
      <c r="H61" s="4">
        <v>19</v>
      </c>
      <c r="I61" s="4">
        <v>12</v>
      </c>
      <c r="J61" s="4">
        <v>4</v>
      </c>
      <c r="K61" s="4">
        <v>0</v>
      </c>
      <c r="L61" s="4">
        <v>120</v>
      </c>
      <c r="M61" s="4">
        <v>170</v>
      </c>
      <c r="N61" s="4">
        <v>72</v>
      </c>
      <c r="O61" s="36" t="s">
        <v>20</v>
      </c>
    </row>
    <row r="62" spans="1:15" x14ac:dyDescent="0.25">
      <c r="A62" s="33" t="s">
        <v>127</v>
      </c>
      <c r="B62" s="2">
        <v>33</v>
      </c>
      <c r="C62" s="1" t="s">
        <v>66</v>
      </c>
      <c r="D62" s="2" t="s">
        <v>113</v>
      </c>
      <c r="E62" s="1" t="s">
        <v>114</v>
      </c>
      <c r="F62" s="2" t="s">
        <v>64</v>
      </c>
      <c r="G62" s="2">
        <v>15</v>
      </c>
      <c r="H62" s="2">
        <v>1</v>
      </c>
      <c r="I62" s="2">
        <v>2</v>
      </c>
      <c r="J62" s="2">
        <v>3</v>
      </c>
      <c r="K62" s="2">
        <v>0</v>
      </c>
      <c r="L62" s="2">
        <v>20</v>
      </c>
      <c r="M62" s="2">
        <v>173</v>
      </c>
      <c r="N62" s="2">
        <v>73</v>
      </c>
      <c r="O62" s="35" t="s">
        <v>20</v>
      </c>
    </row>
    <row r="63" spans="1:15" x14ac:dyDescent="0.25">
      <c r="A63" s="34" t="s">
        <v>128</v>
      </c>
      <c r="B63" s="4">
        <v>25</v>
      </c>
      <c r="C63" s="3" t="s">
        <v>66</v>
      </c>
      <c r="D63" s="4" t="s">
        <v>113</v>
      </c>
      <c r="E63" s="3" t="s">
        <v>117</v>
      </c>
      <c r="F63" s="4" t="s">
        <v>50</v>
      </c>
      <c r="G63" s="4">
        <v>28</v>
      </c>
      <c r="H63" s="4">
        <v>6</v>
      </c>
      <c r="I63" s="4">
        <v>5</v>
      </c>
      <c r="J63" s="4">
        <v>2</v>
      </c>
      <c r="K63" s="4">
        <v>0</v>
      </c>
      <c r="L63" s="4">
        <v>40</v>
      </c>
      <c r="M63" s="4">
        <v>184</v>
      </c>
      <c r="N63" s="4">
        <v>76</v>
      </c>
      <c r="O63" s="36" t="s">
        <v>20</v>
      </c>
    </row>
    <row r="64" spans="1:15" x14ac:dyDescent="0.25">
      <c r="A64" s="33" t="s">
        <v>129</v>
      </c>
      <c r="B64" s="2">
        <v>32</v>
      </c>
      <c r="C64" s="1" t="s">
        <v>130</v>
      </c>
      <c r="D64" s="2" t="s">
        <v>113</v>
      </c>
      <c r="E64" s="1" t="s">
        <v>117</v>
      </c>
      <c r="F64" s="2" t="s">
        <v>67</v>
      </c>
      <c r="G64" s="2">
        <v>2</v>
      </c>
      <c r="H64" s="2">
        <v>0</v>
      </c>
      <c r="I64" s="2">
        <v>0</v>
      </c>
      <c r="J64" s="2">
        <v>0</v>
      </c>
      <c r="K64" s="2">
        <v>0</v>
      </c>
      <c r="L64" s="2">
        <v>20</v>
      </c>
      <c r="M64" s="2">
        <v>187</v>
      </c>
      <c r="N64" s="2">
        <v>85</v>
      </c>
      <c r="O64" s="35" t="s">
        <v>20</v>
      </c>
    </row>
    <row r="65" spans="1:15" x14ac:dyDescent="0.25">
      <c r="A65" s="34" t="s">
        <v>131</v>
      </c>
      <c r="B65" s="4">
        <v>35</v>
      </c>
      <c r="C65" s="3" t="s">
        <v>116</v>
      </c>
      <c r="D65" s="4" t="s">
        <v>113</v>
      </c>
      <c r="E65" s="3" t="s">
        <v>117</v>
      </c>
      <c r="F65" s="4" t="s">
        <v>67</v>
      </c>
      <c r="G65" s="4">
        <v>32</v>
      </c>
      <c r="H65" s="4">
        <v>0</v>
      </c>
      <c r="I65" s="4">
        <v>0</v>
      </c>
      <c r="J65" s="4">
        <v>1</v>
      </c>
      <c r="K65" s="4">
        <v>0</v>
      </c>
      <c r="L65" s="4">
        <v>5</v>
      </c>
      <c r="M65" s="4">
        <v>196</v>
      </c>
      <c r="N65" s="4">
        <v>88</v>
      </c>
      <c r="O65" s="36" t="s">
        <v>20</v>
      </c>
    </row>
    <row r="66" spans="1:15" x14ac:dyDescent="0.25">
      <c r="A66" s="33" t="s">
        <v>132</v>
      </c>
      <c r="B66" s="2">
        <v>33</v>
      </c>
      <c r="C66" s="1" t="s">
        <v>71</v>
      </c>
      <c r="D66" s="2" t="s">
        <v>113</v>
      </c>
      <c r="E66" s="1" t="s">
        <v>114</v>
      </c>
      <c r="F66" s="2" t="s">
        <v>67</v>
      </c>
      <c r="G66" s="2">
        <v>30</v>
      </c>
      <c r="H66" s="2">
        <v>0</v>
      </c>
      <c r="I66" s="2">
        <v>0</v>
      </c>
      <c r="J66" s="2">
        <v>1</v>
      </c>
      <c r="K66" s="2">
        <v>0</v>
      </c>
      <c r="L66" s="2">
        <v>35</v>
      </c>
      <c r="M66" s="2">
        <v>199</v>
      </c>
      <c r="N66" s="2">
        <v>96</v>
      </c>
      <c r="O66" s="35" t="s">
        <v>20</v>
      </c>
    </row>
    <row r="67" spans="1:15" x14ac:dyDescent="0.25">
      <c r="A67" s="34" t="s">
        <v>133</v>
      </c>
      <c r="B67" s="4">
        <v>32</v>
      </c>
      <c r="C67" s="3" t="s">
        <v>134</v>
      </c>
      <c r="D67" s="4" t="s">
        <v>113</v>
      </c>
      <c r="E67" s="3" t="s">
        <v>125</v>
      </c>
      <c r="F67" s="4" t="s">
        <v>67</v>
      </c>
      <c r="G67" s="4">
        <v>36</v>
      </c>
      <c r="H67" s="4">
        <v>0</v>
      </c>
      <c r="I67" s="4">
        <v>0</v>
      </c>
      <c r="J67" s="4">
        <v>2</v>
      </c>
      <c r="K67" s="4">
        <v>0</v>
      </c>
      <c r="L67" s="4">
        <v>25</v>
      </c>
      <c r="M67" s="4">
        <v>188</v>
      </c>
      <c r="N67" s="4">
        <v>87</v>
      </c>
      <c r="O67" s="36" t="s">
        <v>20</v>
      </c>
    </row>
    <row r="68" spans="1:15" x14ac:dyDescent="0.25">
      <c r="A68" s="33" t="s">
        <v>135</v>
      </c>
      <c r="B68" s="2">
        <v>30</v>
      </c>
      <c r="C68" s="1" t="s">
        <v>66</v>
      </c>
      <c r="D68" s="2" t="s">
        <v>113</v>
      </c>
      <c r="E68" s="1" t="s">
        <v>114</v>
      </c>
      <c r="F68" s="2" t="s">
        <v>60</v>
      </c>
      <c r="G68" s="2">
        <v>17</v>
      </c>
      <c r="H68" s="2">
        <v>0</v>
      </c>
      <c r="I68" s="2">
        <v>1</v>
      </c>
      <c r="J68" s="2">
        <v>2</v>
      </c>
      <c r="K68" s="2">
        <v>0</v>
      </c>
      <c r="L68" s="2">
        <v>20</v>
      </c>
      <c r="M68" s="2">
        <v>189</v>
      </c>
      <c r="N68" s="2">
        <v>86</v>
      </c>
      <c r="O68" s="35" t="s">
        <v>20</v>
      </c>
    </row>
    <row r="69" spans="1:15" x14ac:dyDescent="0.25">
      <c r="A69" s="34" t="s">
        <v>136</v>
      </c>
      <c r="B69" s="4">
        <v>26</v>
      </c>
      <c r="C69" s="3" t="s">
        <v>137</v>
      </c>
      <c r="D69" s="4" t="s">
        <v>113</v>
      </c>
      <c r="E69" s="3" t="s">
        <v>117</v>
      </c>
      <c r="F69" s="4" t="s">
        <v>60</v>
      </c>
      <c r="G69" s="4">
        <v>14</v>
      </c>
      <c r="H69" s="4">
        <v>0</v>
      </c>
      <c r="I69" s="4">
        <v>0</v>
      </c>
      <c r="J69" s="4">
        <v>3</v>
      </c>
      <c r="K69" s="4">
        <v>0</v>
      </c>
      <c r="L69" s="4">
        <v>65</v>
      </c>
      <c r="M69" s="4">
        <v>188</v>
      </c>
      <c r="N69" s="4">
        <v>85</v>
      </c>
      <c r="O69" s="36" t="s">
        <v>20</v>
      </c>
    </row>
    <row r="70" spans="1:15" x14ac:dyDescent="0.25">
      <c r="A70" s="33" t="s">
        <v>138</v>
      </c>
      <c r="B70" s="2">
        <v>17</v>
      </c>
      <c r="C70" s="1" t="s">
        <v>66</v>
      </c>
      <c r="D70" s="2" t="s">
        <v>113</v>
      </c>
      <c r="E70" s="1" t="s">
        <v>117</v>
      </c>
      <c r="F70" s="2" t="s">
        <v>60</v>
      </c>
      <c r="G70" s="2">
        <v>28</v>
      </c>
      <c r="H70" s="2">
        <v>1</v>
      </c>
      <c r="I70" s="2">
        <v>2</v>
      </c>
      <c r="J70" s="2">
        <v>3</v>
      </c>
      <c r="K70" s="2">
        <v>0</v>
      </c>
      <c r="L70" s="2">
        <v>80</v>
      </c>
      <c r="M70" s="2">
        <v>185</v>
      </c>
      <c r="N70" s="2">
        <v>77</v>
      </c>
      <c r="O70" s="35" t="s">
        <v>20</v>
      </c>
    </row>
    <row r="71" spans="1:15" x14ac:dyDescent="0.25">
      <c r="A71" s="34" t="s">
        <v>139</v>
      </c>
      <c r="B71" s="4">
        <v>33</v>
      </c>
      <c r="C71" s="3" t="s">
        <v>66</v>
      </c>
      <c r="D71" s="4" t="s">
        <v>113</v>
      </c>
      <c r="E71" s="3" t="s">
        <v>114</v>
      </c>
      <c r="F71" s="4" t="s">
        <v>64</v>
      </c>
      <c r="G71" s="4">
        <v>28</v>
      </c>
      <c r="H71" s="4">
        <v>1</v>
      </c>
      <c r="I71" s="4">
        <v>3</v>
      </c>
      <c r="J71" s="4">
        <v>3</v>
      </c>
      <c r="K71" s="4">
        <v>0</v>
      </c>
      <c r="L71" s="4">
        <v>8</v>
      </c>
      <c r="M71" s="4">
        <v>173</v>
      </c>
      <c r="N71" s="4">
        <v>68</v>
      </c>
      <c r="O71" s="36" t="s">
        <v>20</v>
      </c>
    </row>
    <row r="72" spans="1:15" x14ac:dyDescent="0.25">
      <c r="A72" s="33" t="s">
        <v>140</v>
      </c>
      <c r="B72" s="2">
        <v>29</v>
      </c>
      <c r="C72" s="1" t="s">
        <v>86</v>
      </c>
      <c r="D72" s="2" t="s">
        <v>113</v>
      </c>
      <c r="E72" s="1" t="s">
        <v>114</v>
      </c>
      <c r="F72" s="2" t="s">
        <v>90</v>
      </c>
      <c r="G72" s="2">
        <v>28</v>
      </c>
      <c r="H72" s="2">
        <v>1</v>
      </c>
      <c r="I72" s="2">
        <v>2</v>
      </c>
      <c r="J72" s="2">
        <v>4</v>
      </c>
      <c r="K72" s="2">
        <v>0</v>
      </c>
      <c r="L72" s="2">
        <v>30</v>
      </c>
      <c r="M72" s="2">
        <v>180</v>
      </c>
      <c r="N72" s="2">
        <v>76</v>
      </c>
      <c r="O72" s="35" t="s">
        <v>20</v>
      </c>
    </row>
    <row r="73" spans="1:15" x14ac:dyDescent="0.25">
      <c r="A73" s="34" t="s">
        <v>141</v>
      </c>
      <c r="B73" s="4">
        <v>26</v>
      </c>
      <c r="C73" s="3" t="s">
        <v>137</v>
      </c>
      <c r="D73" s="4" t="s">
        <v>113</v>
      </c>
      <c r="E73" s="3" t="s">
        <v>114</v>
      </c>
      <c r="F73" s="4" t="s">
        <v>74</v>
      </c>
      <c r="G73" s="4">
        <v>35</v>
      </c>
      <c r="H73" s="4">
        <v>9</v>
      </c>
      <c r="I73" s="4">
        <v>7</v>
      </c>
      <c r="J73" s="4">
        <v>8</v>
      </c>
      <c r="K73" s="4">
        <v>0</v>
      </c>
      <c r="L73" s="4">
        <v>120</v>
      </c>
      <c r="M73" s="4">
        <v>182</v>
      </c>
      <c r="N73" s="4">
        <v>78</v>
      </c>
      <c r="O73" s="36" t="s">
        <v>20</v>
      </c>
    </row>
    <row r="74" spans="1:15" x14ac:dyDescent="0.25">
      <c r="A74" s="33" t="s">
        <v>142</v>
      </c>
      <c r="B74" s="2">
        <v>39</v>
      </c>
      <c r="C74" s="1" t="s">
        <v>143</v>
      </c>
      <c r="D74" s="2" t="s">
        <v>113</v>
      </c>
      <c r="E74" s="1" t="s">
        <v>114</v>
      </c>
      <c r="F74" s="2" t="s">
        <v>74</v>
      </c>
      <c r="G74" s="2">
        <v>25</v>
      </c>
      <c r="H74" s="2">
        <v>2</v>
      </c>
      <c r="I74" s="2">
        <v>4</v>
      </c>
      <c r="J74" s="2">
        <v>2</v>
      </c>
      <c r="K74" s="2">
        <v>0</v>
      </c>
      <c r="L74" s="2">
        <v>8</v>
      </c>
      <c r="M74" s="2">
        <v>172</v>
      </c>
      <c r="N74" s="2">
        <v>66</v>
      </c>
      <c r="O74" s="35" t="s">
        <v>20</v>
      </c>
    </row>
    <row r="75" spans="1:15" x14ac:dyDescent="0.25">
      <c r="A75" s="34" t="s">
        <v>144</v>
      </c>
      <c r="B75" s="4">
        <v>34</v>
      </c>
      <c r="C75" s="3" t="s">
        <v>130</v>
      </c>
      <c r="D75" s="4" t="s">
        <v>113</v>
      </c>
      <c r="E75" s="3" t="s">
        <v>114</v>
      </c>
      <c r="F75" s="4" t="s">
        <v>74</v>
      </c>
      <c r="G75" s="4">
        <v>30</v>
      </c>
      <c r="H75" s="4">
        <v>3</v>
      </c>
      <c r="I75" s="4">
        <v>9</v>
      </c>
      <c r="J75" s="4">
        <v>5</v>
      </c>
      <c r="K75" s="4">
        <v>0</v>
      </c>
      <c r="L75" s="4">
        <v>15</v>
      </c>
      <c r="M75" s="4">
        <v>183</v>
      </c>
      <c r="N75" s="4">
        <v>78</v>
      </c>
      <c r="O75" s="36" t="s">
        <v>20</v>
      </c>
    </row>
    <row r="76" spans="1:15" x14ac:dyDescent="0.25">
      <c r="A76" s="33" t="s">
        <v>145</v>
      </c>
      <c r="B76" s="2">
        <v>20</v>
      </c>
      <c r="C76" s="1" t="s">
        <v>66</v>
      </c>
      <c r="D76" s="2" t="s">
        <v>113</v>
      </c>
      <c r="E76" s="1" t="s">
        <v>117</v>
      </c>
      <c r="F76" s="2" t="s">
        <v>74</v>
      </c>
      <c r="G76" s="2">
        <v>12</v>
      </c>
      <c r="H76" s="2">
        <v>1</v>
      </c>
      <c r="I76" s="2">
        <v>3</v>
      </c>
      <c r="J76" s="2">
        <v>4</v>
      </c>
      <c r="K76" s="2">
        <v>0</v>
      </c>
      <c r="L76" s="2">
        <v>120</v>
      </c>
      <c r="M76" s="2">
        <v>173</v>
      </c>
      <c r="N76" s="2">
        <v>60</v>
      </c>
      <c r="O76" s="35" t="s">
        <v>20</v>
      </c>
    </row>
    <row r="77" spans="1:15" x14ac:dyDescent="0.25">
      <c r="A77" s="34" t="s">
        <v>146</v>
      </c>
      <c r="B77" s="4">
        <v>26</v>
      </c>
      <c r="C77" s="3" t="s">
        <v>66</v>
      </c>
      <c r="D77" s="4" t="s">
        <v>113</v>
      </c>
      <c r="E77" s="3" t="s">
        <v>117</v>
      </c>
      <c r="F77" s="4" t="s">
        <v>45</v>
      </c>
      <c r="G77" s="4">
        <v>19</v>
      </c>
      <c r="H77" s="4">
        <v>5</v>
      </c>
      <c r="I77" s="4">
        <v>5</v>
      </c>
      <c r="J77" s="4">
        <v>3</v>
      </c>
      <c r="K77" s="4">
        <v>0</v>
      </c>
      <c r="L77" s="4">
        <v>70</v>
      </c>
      <c r="M77" s="4">
        <v>180</v>
      </c>
      <c r="N77" s="4">
        <v>74</v>
      </c>
      <c r="O77" s="36" t="s">
        <v>20</v>
      </c>
    </row>
    <row r="78" spans="1:15" x14ac:dyDescent="0.25">
      <c r="A78" s="33" t="s">
        <v>147</v>
      </c>
      <c r="B78" s="2">
        <v>32</v>
      </c>
      <c r="C78" s="1" t="s">
        <v>66</v>
      </c>
      <c r="D78" s="2" t="s">
        <v>113</v>
      </c>
      <c r="E78" s="1" t="s">
        <v>125</v>
      </c>
      <c r="F78" s="2" t="s">
        <v>24</v>
      </c>
      <c r="G78" s="2">
        <v>27</v>
      </c>
      <c r="H78" s="2">
        <v>9</v>
      </c>
      <c r="I78" s="2">
        <v>5</v>
      </c>
      <c r="J78" s="2">
        <v>4</v>
      </c>
      <c r="K78" s="2">
        <v>0</v>
      </c>
      <c r="L78" s="2">
        <v>12</v>
      </c>
      <c r="M78" s="2">
        <v>187</v>
      </c>
      <c r="N78" s="2">
        <v>81</v>
      </c>
      <c r="O78" s="35" t="s">
        <v>20</v>
      </c>
    </row>
    <row r="79" spans="1:15" x14ac:dyDescent="0.25">
      <c r="A79" s="34" t="s">
        <v>148</v>
      </c>
      <c r="B79" s="4">
        <v>25</v>
      </c>
      <c r="C79" s="3" t="s">
        <v>149</v>
      </c>
      <c r="D79" s="4" t="s">
        <v>113</v>
      </c>
      <c r="E79" s="3" t="s">
        <v>150</v>
      </c>
      <c r="F79" s="4" t="s">
        <v>19</v>
      </c>
      <c r="G79" s="4">
        <v>30</v>
      </c>
      <c r="H79" s="4">
        <v>8</v>
      </c>
      <c r="I79" s="4">
        <v>6</v>
      </c>
      <c r="J79" s="4">
        <v>3</v>
      </c>
      <c r="K79" s="4">
        <v>0</v>
      </c>
      <c r="L79" s="4">
        <v>25</v>
      </c>
      <c r="M79" s="4">
        <v>181</v>
      </c>
      <c r="N79" s="4">
        <v>78</v>
      </c>
      <c r="O79" s="36" t="s">
        <v>20</v>
      </c>
    </row>
    <row r="80" spans="1:15" x14ac:dyDescent="0.25">
      <c r="A80" s="33" t="s">
        <v>151</v>
      </c>
      <c r="B80" s="2">
        <v>22</v>
      </c>
      <c r="C80" s="1" t="s">
        <v>66</v>
      </c>
      <c r="D80" s="2" t="s">
        <v>113</v>
      </c>
      <c r="E80" s="1" t="s">
        <v>150</v>
      </c>
      <c r="F80" s="2" t="s">
        <v>50</v>
      </c>
      <c r="G80" s="2">
        <v>33</v>
      </c>
      <c r="H80" s="2">
        <v>10</v>
      </c>
      <c r="I80" s="2">
        <v>9</v>
      </c>
      <c r="J80" s="2">
        <v>4</v>
      </c>
      <c r="K80" s="2">
        <v>0</v>
      </c>
      <c r="L80" s="2">
        <v>90</v>
      </c>
      <c r="M80" s="2">
        <v>182</v>
      </c>
      <c r="N80" s="2">
        <v>73</v>
      </c>
      <c r="O80" s="35" t="s">
        <v>20</v>
      </c>
    </row>
    <row r="81" spans="1:15" x14ac:dyDescent="0.25">
      <c r="A81" s="34" t="s">
        <v>152</v>
      </c>
      <c r="B81" s="4">
        <v>27</v>
      </c>
      <c r="C81" s="3" t="s">
        <v>66</v>
      </c>
      <c r="D81" s="4" t="s">
        <v>113</v>
      </c>
      <c r="E81" s="3" t="s">
        <v>153</v>
      </c>
      <c r="F81" s="4" t="s">
        <v>24</v>
      </c>
      <c r="G81" s="4">
        <v>30</v>
      </c>
      <c r="H81" s="4">
        <v>10</v>
      </c>
      <c r="I81" s="4">
        <v>7</v>
      </c>
      <c r="J81" s="4">
        <v>3</v>
      </c>
      <c r="K81" s="4">
        <v>0</v>
      </c>
      <c r="L81" s="4">
        <v>45</v>
      </c>
      <c r="M81" s="4">
        <v>179</v>
      </c>
      <c r="N81" s="4">
        <v>75</v>
      </c>
      <c r="O81" s="36" t="s">
        <v>20</v>
      </c>
    </row>
    <row r="82" spans="1:15" x14ac:dyDescent="0.25">
      <c r="A82" s="33" t="s">
        <v>154</v>
      </c>
      <c r="B82" s="2">
        <v>29</v>
      </c>
      <c r="C82" s="1" t="s">
        <v>26</v>
      </c>
      <c r="D82" s="2" t="s">
        <v>113</v>
      </c>
      <c r="E82" s="1" t="s">
        <v>125</v>
      </c>
      <c r="F82" s="2" t="s">
        <v>24</v>
      </c>
      <c r="G82" s="2">
        <v>23</v>
      </c>
      <c r="H82" s="2">
        <v>6</v>
      </c>
      <c r="I82" s="2">
        <v>3</v>
      </c>
      <c r="J82" s="2">
        <v>2</v>
      </c>
      <c r="K82" s="2">
        <v>0</v>
      </c>
      <c r="L82" s="2">
        <v>30</v>
      </c>
      <c r="M82" s="2">
        <v>195</v>
      </c>
      <c r="N82" s="2">
        <v>88</v>
      </c>
      <c r="O82" s="35" t="s">
        <v>20</v>
      </c>
    </row>
    <row r="83" spans="1:15" x14ac:dyDescent="0.25">
      <c r="A83" s="34" t="s">
        <v>155</v>
      </c>
      <c r="B83" s="4">
        <v>27</v>
      </c>
      <c r="C83" s="3" t="s">
        <v>156</v>
      </c>
      <c r="D83" s="4" t="s">
        <v>113</v>
      </c>
      <c r="E83" s="3" t="s">
        <v>157</v>
      </c>
      <c r="F83" s="4" t="s">
        <v>24</v>
      </c>
      <c r="G83" s="4">
        <v>5</v>
      </c>
      <c r="H83" s="4">
        <v>1</v>
      </c>
      <c r="I83" s="4">
        <v>0</v>
      </c>
      <c r="J83" s="4">
        <v>1</v>
      </c>
      <c r="K83" s="4">
        <v>0</v>
      </c>
      <c r="L83" s="4">
        <v>35</v>
      </c>
      <c r="M83" s="4">
        <v>190</v>
      </c>
      <c r="N83" s="4">
        <v>84</v>
      </c>
      <c r="O83" s="36" t="s">
        <v>20</v>
      </c>
    </row>
    <row r="84" spans="1:15" x14ac:dyDescent="0.25">
      <c r="A84" s="33" t="s">
        <v>158</v>
      </c>
      <c r="B84" s="2">
        <v>37</v>
      </c>
      <c r="C84" s="1" t="s">
        <v>66</v>
      </c>
      <c r="D84" s="2" t="s">
        <v>113</v>
      </c>
      <c r="E84" s="1" t="s">
        <v>159</v>
      </c>
      <c r="F84" s="2" t="s">
        <v>42</v>
      </c>
      <c r="G84" s="2">
        <v>34</v>
      </c>
      <c r="H84" s="2">
        <v>11</v>
      </c>
      <c r="I84" s="2">
        <v>9</v>
      </c>
      <c r="J84" s="2">
        <v>6</v>
      </c>
      <c r="K84" s="2">
        <v>1</v>
      </c>
      <c r="L84" s="2">
        <v>5</v>
      </c>
      <c r="M84" s="2">
        <v>176</v>
      </c>
      <c r="N84" s="2">
        <v>71</v>
      </c>
      <c r="O84" s="35" t="s">
        <v>20</v>
      </c>
    </row>
    <row r="85" spans="1:15" x14ac:dyDescent="0.25">
      <c r="A85" s="34" t="s">
        <v>160</v>
      </c>
      <c r="B85" s="4">
        <v>27</v>
      </c>
      <c r="C85" s="3" t="s">
        <v>66</v>
      </c>
      <c r="D85" s="4" t="s">
        <v>113</v>
      </c>
      <c r="E85" s="3" t="s">
        <v>153</v>
      </c>
      <c r="F85" s="4" t="s">
        <v>74</v>
      </c>
      <c r="G85" s="4">
        <v>34</v>
      </c>
      <c r="H85" s="4">
        <v>7</v>
      </c>
      <c r="I85" s="4">
        <v>7</v>
      </c>
      <c r="J85" s="4">
        <v>5</v>
      </c>
      <c r="K85" s="4">
        <v>0</v>
      </c>
      <c r="L85" s="4">
        <v>35</v>
      </c>
      <c r="M85" s="4">
        <v>181</v>
      </c>
      <c r="N85" s="4">
        <v>77</v>
      </c>
      <c r="O85" s="36" t="s">
        <v>20</v>
      </c>
    </row>
    <row r="86" spans="1:15" x14ac:dyDescent="0.25">
      <c r="A86" s="33" t="s">
        <v>161</v>
      </c>
      <c r="B86" s="2">
        <v>24</v>
      </c>
      <c r="C86" s="1" t="s">
        <v>66</v>
      </c>
      <c r="D86" s="2" t="s">
        <v>113</v>
      </c>
      <c r="E86" s="1" t="s">
        <v>150</v>
      </c>
      <c r="F86" s="2" t="s">
        <v>60</v>
      </c>
      <c r="G86" s="2">
        <v>34</v>
      </c>
      <c r="H86" s="2">
        <v>3</v>
      </c>
      <c r="I86" s="2">
        <v>1</v>
      </c>
      <c r="J86" s="2">
        <v>4</v>
      </c>
      <c r="K86" s="2">
        <v>0</v>
      </c>
      <c r="L86" s="2">
        <v>35</v>
      </c>
      <c r="M86" s="2">
        <v>188</v>
      </c>
      <c r="N86" s="2">
        <v>82</v>
      </c>
      <c r="O86" s="35" t="s">
        <v>20</v>
      </c>
    </row>
    <row r="87" spans="1:15" x14ac:dyDescent="0.25">
      <c r="A87" s="34" t="s">
        <v>162</v>
      </c>
      <c r="B87" s="4">
        <v>27</v>
      </c>
      <c r="C87" s="3" t="s">
        <v>66</v>
      </c>
      <c r="D87" s="4" t="s">
        <v>113</v>
      </c>
      <c r="E87" s="3" t="s">
        <v>150</v>
      </c>
      <c r="F87" s="4" t="s">
        <v>67</v>
      </c>
      <c r="G87" s="4">
        <v>36</v>
      </c>
      <c r="H87" s="4">
        <v>0</v>
      </c>
      <c r="I87" s="4">
        <v>0</v>
      </c>
      <c r="J87" s="4">
        <v>2</v>
      </c>
      <c r="K87" s="4">
        <v>0</v>
      </c>
      <c r="L87" s="4">
        <v>40</v>
      </c>
      <c r="M87" s="4">
        <v>189</v>
      </c>
      <c r="N87" s="4">
        <v>84</v>
      </c>
      <c r="O87" s="36" t="s">
        <v>20</v>
      </c>
    </row>
    <row r="88" spans="1:15" x14ac:dyDescent="0.25">
      <c r="A88" s="33" t="s">
        <v>163</v>
      </c>
      <c r="B88" s="2">
        <v>29</v>
      </c>
      <c r="C88" s="1" t="s">
        <v>66</v>
      </c>
      <c r="D88" s="2" t="s">
        <v>113</v>
      </c>
      <c r="E88" s="1" t="s">
        <v>164</v>
      </c>
      <c r="F88" s="2" t="s">
        <v>90</v>
      </c>
      <c r="G88" s="2">
        <v>4</v>
      </c>
      <c r="H88" s="2">
        <v>0</v>
      </c>
      <c r="I88" s="2">
        <v>1</v>
      </c>
      <c r="J88" s="2">
        <v>0</v>
      </c>
      <c r="K88" s="2">
        <v>0</v>
      </c>
      <c r="L88" s="2">
        <v>40</v>
      </c>
      <c r="M88" s="2">
        <v>168</v>
      </c>
      <c r="N88" s="2">
        <v>64</v>
      </c>
      <c r="O88" s="35" t="s">
        <v>20</v>
      </c>
    </row>
    <row r="89" spans="1:15" x14ac:dyDescent="0.25">
      <c r="A89" s="34" t="s">
        <v>165</v>
      </c>
      <c r="B89" s="4">
        <v>30</v>
      </c>
      <c r="C89" s="3" t="s">
        <v>66</v>
      </c>
      <c r="D89" s="4" t="s">
        <v>113</v>
      </c>
      <c r="E89" s="3" t="s">
        <v>125</v>
      </c>
      <c r="F89" s="4" t="s">
        <v>74</v>
      </c>
      <c r="G89" s="4">
        <v>33</v>
      </c>
      <c r="H89" s="4">
        <v>6</v>
      </c>
      <c r="I89" s="4">
        <v>8</v>
      </c>
      <c r="J89" s="4">
        <v>7</v>
      </c>
      <c r="K89" s="4">
        <v>0</v>
      </c>
      <c r="L89" s="4">
        <v>35</v>
      </c>
      <c r="M89" s="4">
        <v>184</v>
      </c>
      <c r="N89" s="4">
        <v>78</v>
      </c>
      <c r="O89" s="36" t="s">
        <v>20</v>
      </c>
    </row>
    <row r="90" spans="1:15" x14ac:dyDescent="0.25">
      <c r="A90" s="33" t="s">
        <v>166</v>
      </c>
      <c r="B90" s="2">
        <v>33</v>
      </c>
      <c r="C90" s="1" t="s">
        <v>86</v>
      </c>
      <c r="D90" s="2" t="s">
        <v>113</v>
      </c>
      <c r="E90" s="1" t="s">
        <v>125</v>
      </c>
      <c r="F90" s="2" t="s">
        <v>42</v>
      </c>
      <c r="G90" s="2">
        <v>10</v>
      </c>
      <c r="H90" s="2">
        <v>3</v>
      </c>
      <c r="I90" s="2">
        <v>2</v>
      </c>
      <c r="J90" s="2">
        <v>1</v>
      </c>
      <c r="K90" s="2">
        <v>0</v>
      </c>
      <c r="L90" s="2">
        <v>25</v>
      </c>
      <c r="M90" s="2">
        <v>176</v>
      </c>
      <c r="N90" s="2">
        <v>73</v>
      </c>
      <c r="O90" s="35" t="s">
        <v>20</v>
      </c>
    </row>
    <row r="91" spans="1:15" x14ac:dyDescent="0.25">
      <c r="A91" s="34" t="s">
        <v>167</v>
      </c>
      <c r="B91" s="4">
        <v>29</v>
      </c>
      <c r="C91" s="3" t="s">
        <v>66</v>
      </c>
      <c r="D91" s="4" t="s">
        <v>113</v>
      </c>
      <c r="E91" s="3" t="s">
        <v>125</v>
      </c>
      <c r="F91" s="4" t="s">
        <v>60</v>
      </c>
      <c r="G91" s="4">
        <v>5</v>
      </c>
      <c r="H91" s="4">
        <v>0</v>
      </c>
      <c r="I91" s="4">
        <v>0</v>
      </c>
      <c r="J91" s="4">
        <v>1</v>
      </c>
      <c r="K91" s="4">
        <v>0</v>
      </c>
      <c r="L91" s="4">
        <v>25</v>
      </c>
      <c r="M91" s="4">
        <v>186</v>
      </c>
      <c r="N91" s="4">
        <v>80</v>
      </c>
      <c r="O91" s="36" t="s">
        <v>20</v>
      </c>
    </row>
    <row r="92" spans="1:15" x14ac:dyDescent="0.25">
      <c r="A92" s="33" t="s">
        <v>168</v>
      </c>
      <c r="B92" s="2">
        <v>24</v>
      </c>
      <c r="C92" s="1" t="s">
        <v>169</v>
      </c>
      <c r="D92" s="2" t="s">
        <v>113</v>
      </c>
      <c r="E92" s="1" t="s">
        <v>170</v>
      </c>
      <c r="F92" s="2" t="s">
        <v>67</v>
      </c>
      <c r="G92" s="2">
        <v>36</v>
      </c>
      <c r="H92" s="2">
        <v>0</v>
      </c>
      <c r="I92" s="2">
        <v>0</v>
      </c>
      <c r="J92" s="2">
        <v>2</v>
      </c>
      <c r="K92" s="2">
        <v>0</v>
      </c>
      <c r="L92" s="2">
        <v>35</v>
      </c>
      <c r="M92" s="2">
        <v>198</v>
      </c>
      <c r="N92" s="2">
        <v>94</v>
      </c>
      <c r="O92" s="35" t="s">
        <v>20</v>
      </c>
    </row>
    <row r="93" spans="1:15" x14ac:dyDescent="0.25">
      <c r="A93" s="34" t="s">
        <v>171</v>
      </c>
      <c r="B93" s="4">
        <v>32</v>
      </c>
      <c r="C93" s="3" t="s">
        <v>66</v>
      </c>
      <c r="D93" s="4" t="s">
        <v>113</v>
      </c>
      <c r="E93" s="3" t="s">
        <v>117</v>
      </c>
      <c r="F93" s="4" t="s">
        <v>64</v>
      </c>
      <c r="G93" s="4">
        <v>12</v>
      </c>
      <c r="H93" s="4">
        <v>0</v>
      </c>
      <c r="I93" s="4">
        <v>1</v>
      </c>
      <c r="J93" s="4">
        <v>1</v>
      </c>
      <c r="K93" s="4">
        <v>0</v>
      </c>
      <c r="L93" s="4">
        <v>3</v>
      </c>
      <c r="M93" s="4">
        <v>170</v>
      </c>
      <c r="N93" s="4">
        <v>67</v>
      </c>
      <c r="O93" s="36" t="s">
        <v>20</v>
      </c>
    </row>
    <row r="94" spans="1:15" x14ac:dyDescent="0.25">
      <c r="A94" s="33" t="s">
        <v>172</v>
      </c>
      <c r="B94" s="2">
        <v>27</v>
      </c>
      <c r="C94" s="1" t="s">
        <v>40</v>
      </c>
      <c r="D94" s="2" t="s">
        <v>113</v>
      </c>
      <c r="E94" s="1" t="s">
        <v>114</v>
      </c>
      <c r="F94" s="2" t="s">
        <v>60</v>
      </c>
      <c r="G94" s="2">
        <v>6</v>
      </c>
      <c r="H94" s="2">
        <v>0</v>
      </c>
      <c r="I94" s="2">
        <v>0</v>
      </c>
      <c r="J94" s="2">
        <v>1</v>
      </c>
      <c r="K94" s="2">
        <v>0</v>
      </c>
      <c r="L94" s="2">
        <v>65</v>
      </c>
      <c r="M94" s="2">
        <v>186</v>
      </c>
      <c r="N94" s="2">
        <v>78</v>
      </c>
      <c r="O94" s="35" t="s">
        <v>20</v>
      </c>
    </row>
    <row r="95" spans="1:15" x14ac:dyDescent="0.25">
      <c r="A95" s="34" t="s">
        <v>173</v>
      </c>
      <c r="B95" s="4">
        <v>32</v>
      </c>
      <c r="C95" s="3" t="s">
        <v>174</v>
      </c>
      <c r="D95" s="4" t="s">
        <v>113</v>
      </c>
      <c r="E95" s="3" t="s">
        <v>114</v>
      </c>
      <c r="F95" s="4" t="s">
        <v>60</v>
      </c>
      <c r="G95" s="4">
        <v>0</v>
      </c>
      <c r="H95" s="4">
        <v>0</v>
      </c>
      <c r="I95" s="4">
        <v>0</v>
      </c>
      <c r="J95" s="4">
        <v>0</v>
      </c>
      <c r="K95" s="4">
        <v>0</v>
      </c>
      <c r="L95" s="4">
        <v>15</v>
      </c>
      <c r="M95" s="4">
        <v>180</v>
      </c>
      <c r="N95" s="4">
        <v>78</v>
      </c>
      <c r="O95" s="36" t="s">
        <v>20</v>
      </c>
    </row>
    <row r="96" spans="1:15" x14ac:dyDescent="0.25">
      <c r="A96" s="33" t="s">
        <v>175</v>
      </c>
      <c r="B96" s="2">
        <v>34</v>
      </c>
      <c r="C96" s="1" t="s">
        <v>66</v>
      </c>
      <c r="D96" s="2" t="s">
        <v>113</v>
      </c>
      <c r="E96" s="1" t="s">
        <v>114</v>
      </c>
      <c r="F96" s="2" t="s">
        <v>24</v>
      </c>
      <c r="G96" s="2">
        <v>26</v>
      </c>
      <c r="H96" s="2">
        <v>5</v>
      </c>
      <c r="I96" s="2">
        <v>3</v>
      </c>
      <c r="J96" s="2">
        <v>1</v>
      </c>
      <c r="K96" s="2">
        <v>0</v>
      </c>
      <c r="L96" s="2">
        <v>5</v>
      </c>
      <c r="M96" s="2">
        <v>191</v>
      </c>
      <c r="N96" s="2">
        <v>87</v>
      </c>
      <c r="O96" s="35" t="s">
        <v>20</v>
      </c>
    </row>
    <row r="97" spans="1:15" x14ac:dyDescent="0.25">
      <c r="A97" s="34" t="s">
        <v>176</v>
      </c>
      <c r="B97" s="4">
        <v>30</v>
      </c>
      <c r="C97" s="3" t="s">
        <v>66</v>
      </c>
      <c r="D97" s="4" t="s">
        <v>113</v>
      </c>
      <c r="E97" s="3" t="s">
        <v>177</v>
      </c>
      <c r="F97" s="4" t="s">
        <v>74</v>
      </c>
      <c r="G97" s="4">
        <v>31</v>
      </c>
      <c r="H97" s="4">
        <v>5</v>
      </c>
      <c r="I97" s="4">
        <v>6</v>
      </c>
      <c r="J97" s="4">
        <v>8</v>
      </c>
      <c r="K97" s="4">
        <v>0</v>
      </c>
      <c r="L97" s="4">
        <v>12</v>
      </c>
      <c r="M97" s="4">
        <v>181</v>
      </c>
      <c r="N97" s="4">
        <v>76</v>
      </c>
      <c r="O97" s="36" t="s">
        <v>20</v>
      </c>
    </row>
    <row r="98" spans="1:15" x14ac:dyDescent="0.25">
      <c r="A98" s="33" t="s">
        <v>178</v>
      </c>
      <c r="B98" s="2">
        <v>31</v>
      </c>
      <c r="C98" s="1" t="s">
        <v>66</v>
      </c>
      <c r="D98" s="2" t="s">
        <v>113</v>
      </c>
      <c r="E98" s="1" t="s">
        <v>177</v>
      </c>
      <c r="F98" s="2" t="s">
        <v>42</v>
      </c>
      <c r="G98" s="2">
        <v>35</v>
      </c>
      <c r="H98" s="2">
        <v>9</v>
      </c>
      <c r="I98" s="2">
        <v>7</v>
      </c>
      <c r="J98" s="2">
        <v>4</v>
      </c>
      <c r="K98" s="2">
        <v>0</v>
      </c>
      <c r="L98" s="2">
        <v>8</v>
      </c>
      <c r="M98" s="2">
        <v>178</v>
      </c>
      <c r="N98" s="2">
        <v>71</v>
      </c>
      <c r="O98" s="35" t="s">
        <v>20</v>
      </c>
    </row>
    <row r="99" spans="1:15" x14ac:dyDescent="0.25">
      <c r="A99" s="34" t="s">
        <v>179</v>
      </c>
      <c r="B99" s="4">
        <v>28</v>
      </c>
      <c r="C99" s="3" t="s">
        <v>95</v>
      </c>
      <c r="D99" s="4" t="s">
        <v>113</v>
      </c>
      <c r="E99" s="3" t="s">
        <v>177</v>
      </c>
      <c r="F99" s="4" t="s">
        <v>74</v>
      </c>
      <c r="G99" s="4">
        <v>24</v>
      </c>
      <c r="H99" s="4">
        <v>3</v>
      </c>
      <c r="I99" s="4">
        <v>4</v>
      </c>
      <c r="J99" s="4">
        <v>5</v>
      </c>
      <c r="K99" s="4">
        <v>0</v>
      </c>
      <c r="L99" s="4">
        <v>18</v>
      </c>
      <c r="M99" s="4">
        <v>177</v>
      </c>
      <c r="N99" s="4">
        <v>72</v>
      </c>
      <c r="O99" s="36" t="s">
        <v>20</v>
      </c>
    </row>
    <row r="100" spans="1:15" x14ac:dyDescent="0.25">
      <c r="A100" s="33" t="s">
        <v>180</v>
      </c>
      <c r="B100" s="2">
        <v>31</v>
      </c>
      <c r="C100" s="1" t="s">
        <v>66</v>
      </c>
      <c r="D100" s="2" t="s">
        <v>113</v>
      </c>
      <c r="E100" s="1" t="s">
        <v>177</v>
      </c>
      <c r="F100" s="2" t="s">
        <v>24</v>
      </c>
      <c r="G100" s="2">
        <v>26</v>
      </c>
      <c r="H100" s="2">
        <v>6</v>
      </c>
      <c r="I100" s="2">
        <v>3</v>
      </c>
      <c r="J100" s="2">
        <v>2</v>
      </c>
      <c r="K100" s="2">
        <v>0</v>
      </c>
      <c r="L100" s="2">
        <v>8</v>
      </c>
      <c r="M100" s="2">
        <v>191</v>
      </c>
      <c r="N100" s="2">
        <v>87</v>
      </c>
      <c r="O100" s="35" t="s">
        <v>20</v>
      </c>
    </row>
    <row r="101" spans="1:15" x14ac:dyDescent="0.25">
      <c r="A101" s="34" t="s">
        <v>181</v>
      </c>
      <c r="B101" s="4">
        <v>31</v>
      </c>
      <c r="C101" s="3" t="s">
        <v>37</v>
      </c>
      <c r="D101" s="4" t="s">
        <v>182</v>
      </c>
      <c r="E101" s="3" t="s">
        <v>183</v>
      </c>
      <c r="F101" s="4" t="s">
        <v>24</v>
      </c>
      <c r="G101" s="4">
        <v>34</v>
      </c>
      <c r="H101" s="4">
        <v>26</v>
      </c>
      <c r="I101" s="4">
        <v>12</v>
      </c>
      <c r="J101" s="4">
        <v>5</v>
      </c>
      <c r="K101" s="4">
        <v>0</v>
      </c>
      <c r="L101" s="4">
        <v>90</v>
      </c>
      <c r="M101" s="4">
        <v>188</v>
      </c>
      <c r="N101" s="4">
        <v>86</v>
      </c>
      <c r="O101" s="36" t="s">
        <v>20</v>
      </c>
    </row>
    <row r="102" spans="1:15" x14ac:dyDescent="0.25">
      <c r="A102" s="33" t="s">
        <v>184</v>
      </c>
      <c r="B102" s="2">
        <v>21</v>
      </c>
      <c r="C102" s="1" t="s">
        <v>130</v>
      </c>
      <c r="D102" s="2" t="s">
        <v>182</v>
      </c>
      <c r="E102" s="1" t="s">
        <v>164</v>
      </c>
      <c r="F102" s="2" t="s">
        <v>45</v>
      </c>
      <c r="G102" s="2">
        <v>34</v>
      </c>
      <c r="H102" s="2">
        <v>18</v>
      </c>
      <c r="I102" s="2">
        <v>20</v>
      </c>
      <c r="J102" s="2">
        <v>4</v>
      </c>
      <c r="K102" s="2">
        <v>0</v>
      </c>
      <c r="L102" s="2">
        <v>150</v>
      </c>
      <c r="M102" s="2">
        <v>180</v>
      </c>
      <c r="N102" s="2">
        <v>70</v>
      </c>
      <c r="O102" s="35" t="s">
        <v>20</v>
      </c>
    </row>
    <row r="103" spans="1:15" x14ac:dyDescent="0.25">
      <c r="A103" s="34" t="s">
        <v>185</v>
      </c>
      <c r="B103" s="4">
        <v>26</v>
      </c>
      <c r="C103" s="3" t="s">
        <v>16</v>
      </c>
      <c r="D103" s="4" t="s">
        <v>182</v>
      </c>
      <c r="E103" s="3" t="s">
        <v>186</v>
      </c>
      <c r="F103" s="4" t="s">
        <v>24</v>
      </c>
      <c r="G103" s="4">
        <v>18</v>
      </c>
      <c r="H103" s="4">
        <v>15</v>
      </c>
      <c r="I103" s="4">
        <v>8</v>
      </c>
      <c r="J103" s="4">
        <v>3</v>
      </c>
      <c r="K103" s="4">
        <v>0</v>
      </c>
      <c r="L103" s="4">
        <v>65</v>
      </c>
      <c r="M103" s="4">
        <v>180</v>
      </c>
      <c r="N103" s="4">
        <v>78</v>
      </c>
      <c r="O103" s="36" t="s">
        <v>20</v>
      </c>
    </row>
    <row r="104" spans="1:15" x14ac:dyDescent="0.25">
      <c r="A104" s="33" t="s">
        <v>187</v>
      </c>
      <c r="B104" s="2">
        <v>32</v>
      </c>
      <c r="C104" s="1" t="s">
        <v>188</v>
      </c>
      <c r="D104" s="2" t="s">
        <v>182</v>
      </c>
      <c r="E104" s="1" t="s">
        <v>164</v>
      </c>
      <c r="F104" s="2" t="s">
        <v>62</v>
      </c>
      <c r="G104" s="2">
        <v>33</v>
      </c>
      <c r="H104" s="2">
        <v>6</v>
      </c>
      <c r="I104" s="2">
        <v>9</v>
      </c>
      <c r="J104" s="2">
        <v>9</v>
      </c>
      <c r="K104" s="2">
        <v>1</v>
      </c>
      <c r="L104" s="2">
        <v>20</v>
      </c>
      <c r="M104" s="2">
        <v>185</v>
      </c>
      <c r="N104" s="2">
        <v>80</v>
      </c>
      <c r="O104" s="35" t="s">
        <v>20</v>
      </c>
    </row>
    <row r="105" spans="1:15" x14ac:dyDescent="0.25">
      <c r="A105" s="34" t="s">
        <v>189</v>
      </c>
      <c r="B105" s="4">
        <v>24</v>
      </c>
      <c r="C105" s="3" t="s">
        <v>190</v>
      </c>
      <c r="D105" s="4" t="s">
        <v>182</v>
      </c>
      <c r="E105" s="3" t="s">
        <v>164</v>
      </c>
      <c r="F105" s="4" t="s">
        <v>24</v>
      </c>
      <c r="G105" s="4">
        <v>24</v>
      </c>
      <c r="H105" s="4">
        <v>14</v>
      </c>
      <c r="I105" s="4">
        <v>6</v>
      </c>
      <c r="J105" s="4">
        <v>5</v>
      </c>
      <c r="K105" s="4">
        <v>0</v>
      </c>
      <c r="L105" s="4">
        <v>55</v>
      </c>
      <c r="M105" s="4">
        <v>190</v>
      </c>
      <c r="N105" s="4">
        <v>82</v>
      </c>
      <c r="O105" s="36" t="s">
        <v>20</v>
      </c>
    </row>
    <row r="106" spans="1:15" x14ac:dyDescent="0.25">
      <c r="A106" s="33" t="s">
        <v>191</v>
      </c>
      <c r="B106" s="2">
        <v>21</v>
      </c>
      <c r="C106" s="1" t="s">
        <v>130</v>
      </c>
      <c r="D106" s="2" t="s">
        <v>182</v>
      </c>
      <c r="E106" s="1" t="s">
        <v>183</v>
      </c>
      <c r="F106" s="2" t="s">
        <v>45</v>
      </c>
      <c r="G106" s="2">
        <v>32</v>
      </c>
      <c r="H106" s="2">
        <v>15</v>
      </c>
      <c r="I106" s="2">
        <v>13</v>
      </c>
      <c r="J106" s="2">
        <v>3</v>
      </c>
      <c r="K106" s="2">
        <v>0</v>
      </c>
      <c r="L106" s="2">
        <v>150</v>
      </c>
      <c r="M106" s="2">
        <v>183</v>
      </c>
      <c r="N106" s="2">
        <v>73</v>
      </c>
      <c r="O106" s="35" t="s">
        <v>20</v>
      </c>
    </row>
    <row r="107" spans="1:15" x14ac:dyDescent="0.25">
      <c r="A107" s="34" t="s">
        <v>192</v>
      </c>
      <c r="B107" s="4">
        <v>29</v>
      </c>
      <c r="C107" s="3" t="s">
        <v>130</v>
      </c>
      <c r="D107" s="4" t="s">
        <v>182</v>
      </c>
      <c r="E107" s="3" t="s">
        <v>183</v>
      </c>
      <c r="F107" s="4" t="s">
        <v>19</v>
      </c>
      <c r="G107" s="4">
        <v>25</v>
      </c>
      <c r="H107" s="4">
        <v>7</v>
      </c>
      <c r="I107" s="4">
        <v>7</v>
      </c>
      <c r="J107" s="4">
        <v>4</v>
      </c>
      <c r="K107" s="4">
        <v>0</v>
      </c>
      <c r="L107" s="4">
        <v>45</v>
      </c>
      <c r="M107" s="4">
        <v>183</v>
      </c>
      <c r="N107" s="4">
        <v>75</v>
      </c>
      <c r="O107" s="36" t="s">
        <v>20</v>
      </c>
    </row>
    <row r="108" spans="1:15" x14ac:dyDescent="0.25">
      <c r="A108" s="33" t="s">
        <v>193</v>
      </c>
      <c r="B108" s="2">
        <v>29</v>
      </c>
      <c r="C108" s="1" t="s">
        <v>86</v>
      </c>
      <c r="D108" s="2" t="s">
        <v>182</v>
      </c>
      <c r="E108" s="1" t="s">
        <v>183</v>
      </c>
      <c r="F108" s="2" t="s">
        <v>50</v>
      </c>
      <c r="G108" s="2">
        <v>22</v>
      </c>
      <c r="H108" s="2">
        <v>5</v>
      </c>
      <c r="I108" s="2">
        <v>5</v>
      </c>
      <c r="J108" s="2">
        <v>2</v>
      </c>
      <c r="K108" s="2">
        <v>0</v>
      </c>
      <c r="L108" s="2">
        <v>30</v>
      </c>
      <c r="M108" s="2">
        <v>180</v>
      </c>
      <c r="N108" s="2">
        <v>75</v>
      </c>
      <c r="O108" s="35" t="s">
        <v>20</v>
      </c>
    </row>
    <row r="109" spans="1:15" x14ac:dyDescent="0.25">
      <c r="A109" s="34" t="s">
        <v>194</v>
      </c>
      <c r="B109" s="4">
        <v>39</v>
      </c>
      <c r="C109" s="3" t="s">
        <v>130</v>
      </c>
      <c r="D109" s="4" t="s">
        <v>182</v>
      </c>
      <c r="E109" s="3" t="s">
        <v>183</v>
      </c>
      <c r="F109" s="4" t="s">
        <v>67</v>
      </c>
      <c r="G109" s="4">
        <v>27</v>
      </c>
      <c r="H109" s="4">
        <v>0</v>
      </c>
      <c r="I109" s="4">
        <v>0</v>
      </c>
      <c r="J109" s="4">
        <v>1</v>
      </c>
      <c r="K109" s="4">
        <v>0</v>
      </c>
      <c r="L109" s="4">
        <v>10</v>
      </c>
      <c r="M109" s="4">
        <v>193</v>
      </c>
      <c r="N109" s="4">
        <v>92</v>
      </c>
      <c r="O109" s="36" t="s">
        <v>20</v>
      </c>
    </row>
    <row r="110" spans="1:15" x14ac:dyDescent="0.25">
      <c r="A110" s="33" t="s">
        <v>195</v>
      </c>
      <c r="B110" s="2">
        <v>30</v>
      </c>
      <c r="C110" s="1" t="s">
        <v>130</v>
      </c>
      <c r="D110" s="2" t="s">
        <v>182</v>
      </c>
      <c r="E110" s="1" t="s">
        <v>183</v>
      </c>
      <c r="F110" s="2" t="s">
        <v>62</v>
      </c>
      <c r="G110" s="2">
        <v>32</v>
      </c>
      <c r="H110" s="2">
        <v>3</v>
      </c>
      <c r="I110" s="2">
        <v>10</v>
      </c>
      <c r="J110" s="2">
        <v>9</v>
      </c>
      <c r="K110" s="2">
        <v>0</v>
      </c>
      <c r="L110" s="2">
        <v>60</v>
      </c>
      <c r="M110" s="2">
        <v>177</v>
      </c>
      <c r="N110" s="2">
        <v>75</v>
      </c>
      <c r="O110" s="35" t="s">
        <v>20</v>
      </c>
    </row>
    <row r="111" spans="1:15" x14ac:dyDescent="0.25">
      <c r="A111" s="34" t="s">
        <v>196</v>
      </c>
      <c r="B111" s="4">
        <v>35</v>
      </c>
      <c r="C111" s="3" t="s">
        <v>130</v>
      </c>
      <c r="D111" s="4" t="s">
        <v>182</v>
      </c>
      <c r="E111" s="3" t="s">
        <v>183</v>
      </c>
      <c r="F111" s="4" t="s">
        <v>42</v>
      </c>
      <c r="G111" s="4">
        <v>27</v>
      </c>
      <c r="H111" s="4">
        <v>2</v>
      </c>
      <c r="I111" s="4">
        <v>6</v>
      </c>
      <c r="J111" s="4">
        <v>2</v>
      </c>
      <c r="K111" s="4">
        <v>0</v>
      </c>
      <c r="L111" s="4">
        <v>8</v>
      </c>
      <c r="M111" s="4">
        <v>186</v>
      </c>
      <c r="N111" s="4">
        <v>75</v>
      </c>
      <c r="O111" s="36" t="s">
        <v>20</v>
      </c>
    </row>
    <row r="112" spans="1:15" x14ac:dyDescent="0.25">
      <c r="A112" s="33" t="s">
        <v>197</v>
      </c>
      <c r="B112" s="2">
        <v>29</v>
      </c>
      <c r="C112" s="1" t="s">
        <v>130</v>
      </c>
      <c r="D112" s="2" t="s">
        <v>182</v>
      </c>
      <c r="E112" s="1" t="s">
        <v>183</v>
      </c>
      <c r="F112" s="2" t="s">
        <v>19</v>
      </c>
      <c r="G112" s="2">
        <v>22</v>
      </c>
      <c r="H112" s="2">
        <v>6</v>
      </c>
      <c r="I112" s="2">
        <v>4</v>
      </c>
      <c r="J112" s="2">
        <v>1</v>
      </c>
      <c r="K112" s="2">
        <v>0</v>
      </c>
      <c r="L112" s="2">
        <v>25</v>
      </c>
      <c r="M112" s="2">
        <v>175</v>
      </c>
      <c r="N112" s="2">
        <v>76</v>
      </c>
      <c r="O112" s="35" t="s">
        <v>20</v>
      </c>
    </row>
    <row r="113" spans="1:15" x14ac:dyDescent="0.25">
      <c r="A113" s="34" t="s">
        <v>198</v>
      </c>
      <c r="B113" s="4">
        <v>24</v>
      </c>
      <c r="C113" s="3" t="s">
        <v>199</v>
      </c>
      <c r="D113" s="4" t="s">
        <v>182</v>
      </c>
      <c r="E113" s="3" t="s">
        <v>183</v>
      </c>
      <c r="F113" s="4" t="s">
        <v>90</v>
      </c>
      <c r="G113" s="4">
        <v>27</v>
      </c>
      <c r="H113" s="4">
        <v>1</v>
      </c>
      <c r="I113" s="4">
        <v>7</v>
      </c>
      <c r="J113" s="4">
        <v>4</v>
      </c>
      <c r="K113" s="4">
        <v>0</v>
      </c>
      <c r="L113" s="4">
        <v>65</v>
      </c>
      <c r="M113" s="4">
        <v>183</v>
      </c>
      <c r="N113" s="4">
        <v>76</v>
      </c>
      <c r="O113" s="36" t="s">
        <v>20</v>
      </c>
    </row>
    <row r="114" spans="1:15" x14ac:dyDescent="0.25">
      <c r="A114" s="33" t="s">
        <v>200</v>
      </c>
      <c r="B114" s="2">
        <v>26</v>
      </c>
      <c r="C114" s="1" t="s">
        <v>86</v>
      </c>
      <c r="D114" s="2" t="s">
        <v>182</v>
      </c>
      <c r="E114" s="1" t="s">
        <v>183</v>
      </c>
      <c r="F114" s="2" t="s">
        <v>60</v>
      </c>
      <c r="G114" s="2">
        <v>29</v>
      </c>
      <c r="H114" s="2">
        <v>1</v>
      </c>
      <c r="I114" s="2">
        <v>1</v>
      </c>
      <c r="J114" s="2">
        <v>7</v>
      </c>
      <c r="K114" s="2">
        <v>0</v>
      </c>
      <c r="L114" s="2">
        <v>45</v>
      </c>
      <c r="M114" s="2">
        <v>186</v>
      </c>
      <c r="N114" s="2">
        <v>82</v>
      </c>
      <c r="O114" s="35" t="s">
        <v>20</v>
      </c>
    </row>
    <row r="115" spans="1:15" x14ac:dyDescent="0.25">
      <c r="A115" s="34" t="s">
        <v>201</v>
      </c>
      <c r="B115" s="4">
        <v>28</v>
      </c>
      <c r="C115" s="3" t="s">
        <v>54</v>
      </c>
      <c r="D115" s="4" t="s">
        <v>182</v>
      </c>
      <c r="E115" s="3" t="s">
        <v>183</v>
      </c>
      <c r="F115" s="4" t="s">
        <v>60</v>
      </c>
      <c r="G115" s="4">
        <v>30</v>
      </c>
      <c r="H115" s="4">
        <v>2</v>
      </c>
      <c r="I115" s="4">
        <v>1</v>
      </c>
      <c r="J115" s="4">
        <v>5</v>
      </c>
      <c r="K115" s="4">
        <v>0</v>
      </c>
      <c r="L115" s="4">
        <v>55</v>
      </c>
      <c r="M115" s="4">
        <v>190</v>
      </c>
      <c r="N115" s="4">
        <v>87</v>
      </c>
      <c r="O115" s="36" t="s">
        <v>20</v>
      </c>
    </row>
    <row r="116" spans="1:15" x14ac:dyDescent="0.25">
      <c r="A116" s="33" t="s">
        <v>202</v>
      </c>
      <c r="B116" s="2">
        <v>27</v>
      </c>
      <c r="C116" s="1" t="s">
        <v>174</v>
      </c>
      <c r="D116" s="2" t="s">
        <v>182</v>
      </c>
      <c r="E116" s="1" t="s">
        <v>183</v>
      </c>
      <c r="F116" s="2" t="s">
        <v>74</v>
      </c>
      <c r="G116" s="2">
        <v>31</v>
      </c>
      <c r="H116" s="2">
        <v>3</v>
      </c>
      <c r="I116" s="2">
        <v>5</v>
      </c>
      <c r="J116" s="2">
        <v>7</v>
      </c>
      <c r="K116" s="2">
        <v>0</v>
      </c>
      <c r="L116" s="2">
        <v>30</v>
      </c>
      <c r="M116" s="2">
        <v>174</v>
      </c>
      <c r="N116" s="2">
        <v>72</v>
      </c>
      <c r="O116" s="35" t="s">
        <v>20</v>
      </c>
    </row>
    <row r="117" spans="1:15" x14ac:dyDescent="0.25">
      <c r="A117" s="34" t="s">
        <v>203</v>
      </c>
      <c r="B117" s="4">
        <v>30</v>
      </c>
      <c r="C117" s="3" t="s">
        <v>52</v>
      </c>
      <c r="D117" s="4" t="s">
        <v>182</v>
      </c>
      <c r="E117" s="3" t="s">
        <v>183</v>
      </c>
      <c r="F117" s="4" t="s">
        <v>90</v>
      </c>
      <c r="G117" s="4">
        <v>20</v>
      </c>
      <c r="H117" s="4">
        <v>2</v>
      </c>
      <c r="I117" s="4">
        <v>4</v>
      </c>
      <c r="J117" s="4">
        <v>2</v>
      </c>
      <c r="K117" s="4">
        <v>0</v>
      </c>
      <c r="L117" s="4">
        <v>20</v>
      </c>
      <c r="M117" s="4">
        <v>170</v>
      </c>
      <c r="N117" s="4">
        <v>64</v>
      </c>
      <c r="O117" s="36" t="s">
        <v>20</v>
      </c>
    </row>
    <row r="118" spans="1:15" x14ac:dyDescent="0.25">
      <c r="A118" s="33" t="s">
        <v>204</v>
      </c>
      <c r="B118" s="2">
        <v>27</v>
      </c>
      <c r="C118" s="1" t="s">
        <v>205</v>
      </c>
      <c r="D118" s="2" t="s">
        <v>182</v>
      </c>
      <c r="E118" s="1" t="s">
        <v>183</v>
      </c>
      <c r="F118" s="2" t="s">
        <v>64</v>
      </c>
      <c r="G118" s="2">
        <v>16</v>
      </c>
      <c r="H118" s="2">
        <v>1</v>
      </c>
      <c r="I118" s="2">
        <v>2</v>
      </c>
      <c r="J118" s="2">
        <v>3</v>
      </c>
      <c r="K118" s="2">
        <v>0</v>
      </c>
      <c r="L118" s="2">
        <v>30</v>
      </c>
      <c r="M118" s="2">
        <v>181</v>
      </c>
      <c r="N118" s="2">
        <v>77</v>
      </c>
      <c r="O118" s="35" t="s">
        <v>20</v>
      </c>
    </row>
    <row r="119" spans="1:15" x14ac:dyDescent="0.25">
      <c r="A119" s="34" t="s">
        <v>206</v>
      </c>
      <c r="B119" s="4">
        <v>28</v>
      </c>
      <c r="C119" s="3" t="s">
        <v>207</v>
      </c>
      <c r="D119" s="4" t="s">
        <v>182</v>
      </c>
      <c r="E119" s="3" t="s">
        <v>208</v>
      </c>
      <c r="F119" s="4" t="s">
        <v>24</v>
      </c>
      <c r="G119" s="4">
        <v>27</v>
      </c>
      <c r="H119" s="4">
        <v>15</v>
      </c>
      <c r="I119" s="4">
        <v>5</v>
      </c>
      <c r="J119" s="4">
        <v>3</v>
      </c>
      <c r="K119" s="4">
        <v>0</v>
      </c>
      <c r="L119" s="4">
        <v>45</v>
      </c>
      <c r="M119" s="4">
        <v>187</v>
      </c>
      <c r="N119" s="4">
        <v>83</v>
      </c>
      <c r="O119" s="36" t="s">
        <v>20</v>
      </c>
    </row>
    <row r="120" spans="1:15" x14ac:dyDescent="0.25">
      <c r="A120" s="33" t="s">
        <v>209</v>
      </c>
      <c r="B120" s="2">
        <v>23</v>
      </c>
      <c r="C120" s="1" t="s">
        <v>130</v>
      </c>
      <c r="D120" s="2" t="s">
        <v>182</v>
      </c>
      <c r="E120" s="1" t="s">
        <v>208</v>
      </c>
      <c r="F120" s="2" t="s">
        <v>50</v>
      </c>
      <c r="G120" s="2">
        <v>26</v>
      </c>
      <c r="H120" s="2">
        <v>8</v>
      </c>
      <c r="I120" s="2">
        <v>6</v>
      </c>
      <c r="J120" s="2">
        <v>4</v>
      </c>
      <c r="K120" s="2">
        <v>0</v>
      </c>
      <c r="L120" s="2">
        <v>40</v>
      </c>
      <c r="M120" s="2">
        <v>180</v>
      </c>
      <c r="N120" s="2">
        <v>72</v>
      </c>
      <c r="O120" s="35" t="s">
        <v>20</v>
      </c>
    </row>
    <row r="121" spans="1:15" x14ac:dyDescent="0.25">
      <c r="A121" s="34" t="s">
        <v>210</v>
      </c>
      <c r="B121" s="4">
        <v>28</v>
      </c>
      <c r="C121" s="3" t="s">
        <v>130</v>
      </c>
      <c r="D121" s="4" t="s">
        <v>182</v>
      </c>
      <c r="E121" s="3" t="s">
        <v>208</v>
      </c>
      <c r="F121" s="4" t="s">
        <v>45</v>
      </c>
      <c r="G121" s="4">
        <v>31</v>
      </c>
      <c r="H121" s="4">
        <v>7</v>
      </c>
      <c r="I121" s="4">
        <v>10</v>
      </c>
      <c r="J121" s="4">
        <v>3</v>
      </c>
      <c r="K121" s="4">
        <v>0</v>
      </c>
      <c r="L121" s="4">
        <v>30</v>
      </c>
      <c r="M121" s="4">
        <v>185</v>
      </c>
      <c r="N121" s="4">
        <v>79</v>
      </c>
      <c r="O121" s="36" t="s">
        <v>20</v>
      </c>
    </row>
    <row r="122" spans="1:15" x14ac:dyDescent="0.25">
      <c r="A122" s="33" t="s">
        <v>211</v>
      </c>
      <c r="B122" s="2">
        <v>31</v>
      </c>
      <c r="C122" s="1" t="s">
        <v>130</v>
      </c>
      <c r="D122" s="2" t="s">
        <v>182</v>
      </c>
      <c r="E122" s="1" t="s">
        <v>208</v>
      </c>
      <c r="F122" s="2" t="s">
        <v>62</v>
      </c>
      <c r="G122" s="2">
        <v>31</v>
      </c>
      <c r="H122" s="2">
        <v>4</v>
      </c>
      <c r="I122" s="2">
        <v>3</v>
      </c>
      <c r="J122" s="2">
        <v>9</v>
      </c>
      <c r="K122" s="2">
        <v>1</v>
      </c>
      <c r="L122" s="2">
        <v>10</v>
      </c>
      <c r="M122" s="2">
        <v>186</v>
      </c>
      <c r="N122" s="2">
        <v>82</v>
      </c>
      <c r="O122" s="35" t="s">
        <v>20</v>
      </c>
    </row>
    <row r="123" spans="1:15" x14ac:dyDescent="0.25">
      <c r="A123" s="34" t="s">
        <v>212</v>
      </c>
      <c r="B123" s="4">
        <v>31</v>
      </c>
      <c r="C123" s="3" t="s">
        <v>174</v>
      </c>
      <c r="D123" s="4" t="s">
        <v>182</v>
      </c>
      <c r="E123" s="3" t="s">
        <v>208</v>
      </c>
      <c r="F123" s="4" t="s">
        <v>74</v>
      </c>
      <c r="G123" s="4">
        <v>29</v>
      </c>
      <c r="H123" s="4">
        <v>5</v>
      </c>
      <c r="I123" s="4">
        <v>6</v>
      </c>
      <c r="J123" s="4">
        <v>6</v>
      </c>
      <c r="K123" s="4">
        <v>0</v>
      </c>
      <c r="L123" s="4">
        <v>18</v>
      </c>
      <c r="M123" s="4">
        <v>177</v>
      </c>
      <c r="N123" s="4">
        <v>73</v>
      </c>
      <c r="O123" s="36" t="s">
        <v>20</v>
      </c>
    </row>
    <row r="124" spans="1:15" x14ac:dyDescent="0.25">
      <c r="A124" s="33" t="s">
        <v>213</v>
      </c>
      <c r="B124" s="2">
        <v>27</v>
      </c>
      <c r="C124" s="1" t="s">
        <v>188</v>
      </c>
      <c r="D124" s="2" t="s">
        <v>182</v>
      </c>
      <c r="E124" s="1" t="s">
        <v>208</v>
      </c>
      <c r="F124" s="2" t="s">
        <v>67</v>
      </c>
      <c r="G124" s="2">
        <v>32</v>
      </c>
      <c r="H124" s="2">
        <v>0</v>
      </c>
      <c r="I124" s="2">
        <v>0</v>
      </c>
      <c r="J124" s="2">
        <v>2</v>
      </c>
      <c r="K124" s="2">
        <v>0</v>
      </c>
      <c r="L124" s="2">
        <v>30</v>
      </c>
      <c r="M124" s="2">
        <v>194</v>
      </c>
      <c r="N124" s="2">
        <v>90</v>
      </c>
      <c r="O124" s="35" t="s">
        <v>20</v>
      </c>
    </row>
    <row r="125" spans="1:15" x14ac:dyDescent="0.25">
      <c r="A125" s="34" t="s">
        <v>214</v>
      </c>
      <c r="B125" s="4">
        <v>36</v>
      </c>
      <c r="C125" s="3" t="s">
        <v>130</v>
      </c>
      <c r="D125" s="4" t="s">
        <v>182</v>
      </c>
      <c r="E125" s="3" t="s">
        <v>208</v>
      </c>
      <c r="F125" s="4" t="s">
        <v>60</v>
      </c>
      <c r="G125" s="4">
        <v>7</v>
      </c>
      <c r="H125" s="4">
        <v>0</v>
      </c>
      <c r="I125" s="4">
        <v>0</v>
      </c>
      <c r="J125" s="4">
        <v>2</v>
      </c>
      <c r="K125" s="4">
        <v>0</v>
      </c>
      <c r="L125" s="4">
        <v>3</v>
      </c>
      <c r="M125" s="4">
        <v>191</v>
      </c>
      <c r="N125" s="4">
        <v>92</v>
      </c>
      <c r="O125" s="36" t="s">
        <v>20</v>
      </c>
    </row>
    <row r="126" spans="1:15" x14ac:dyDescent="0.25">
      <c r="A126" s="33" t="s">
        <v>215</v>
      </c>
      <c r="B126" s="2">
        <v>25</v>
      </c>
      <c r="C126" s="1" t="s">
        <v>130</v>
      </c>
      <c r="D126" s="2" t="s">
        <v>182</v>
      </c>
      <c r="E126" s="1" t="s">
        <v>208</v>
      </c>
      <c r="F126" s="2" t="s">
        <v>60</v>
      </c>
      <c r="G126" s="2">
        <v>26</v>
      </c>
      <c r="H126" s="2">
        <v>2</v>
      </c>
      <c r="I126" s="2">
        <v>1</v>
      </c>
      <c r="J126" s="2">
        <v>7</v>
      </c>
      <c r="K126" s="2">
        <v>0</v>
      </c>
      <c r="L126" s="2">
        <v>35</v>
      </c>
      <c r="M126" s="2">
        <v>192</v>
      </c>
      <c r="N126" s="2">
        <v>83</v>
      </c>
      <c r="O126" s="35" t="s">
        <v>20</v>
      </c>
    </row>
    <row r="127" spans="1:15" x14ac:dyDescent="0.25">
      <c r="A127" s="34" t="s">
        <v>216</v>
      </c>
      <c r="B127" s="4">
        <v>29</v>
      </c>
      <c r="C127" s="3" t="s">
        <v>217</v>
      </c>
      <c r="D127" s="4" t="s">
        <v>182</v>
      </c>
      <c r="E127" s="3" t="s">
        <v>208</v>
      </c>
      <c r="F127" s="4" t="s">
        <v>90</v>
      </c>
      <c r="G127" s="4">
        <v>25</v>
      </c>
      <c r="H127" s="4">
        <v>2</v>
      </c>
      <c r="I127" s="4">
        <v>3</v>
      </c>
      <c r="J127" s="4">
        <v>5</v>
      </c>
      <c r="K127" s="4">
        <v>0</v>
      </c>
      <c r="L127" s="4">
        <v>15</v>
      </c>
      <c r="M127" s="4">
        <v>183</v>
      </c>
      <c r="N127" s="4">
        <v>77</v>
      </c>
      <c r="O127" s="36" t="s">
        <v>20</v>
      </c>
    </row>
    <row r="128" spans="1:15" x14ac:dyDescent="0.25">
      <c r="A128" s="33" t="s">
        <v>163</v>
      </c>
      <c r="B128" s="2">
        <v>29</v>
      </c>
      <c r="C128" s="1" t="s">
        <v>66</v>
      </c>
      <c r="D128" s="2" t="s">
        <v>182</v>
      </c>
      <c r="E128" s="1" t="s">
        <v>164</v>
      </c>
      <c r="F128" s="2" t="s">
        <v>90</v>
      </c>
      <c r="G128" s="2">
        <v>33</v>
      </c>
      <c r="H128" s="2">
        <v>5</v>
      </c>
      <c r="I128" s="2">
        <v>12</v>
      </c>
      <c r="J128" s="2">
        <v>5</v>
      </c>
      <c r="K128" s="2">
        <v>0</v>
      </c>
      <c r="L128" s="2">
        <v>40</v>
      </c>
      <c r="M128" s="2">
        <v>168</v>
      </c>
      <c r="N128" s="2">
        <v>64</v>
      </c>
      <c r="O128" s="35" t="s">
        <v>20</v>
      </c>
    </row>
    <row r="129" spans="1:15" x14ac:dyDescent="0.25">
      <c r="A129" s="34" t="s">
        <v>218</v>
      </c>
      <c r="B129" s="4">
        <v>32</v>
      </c>
      <c r="C129" s="3" t="s">
        <v>130</v>
      </c>
      <c r="D129" s="4" t="s">
        <v>182</v>
      </c>
      <c r="E129" s="3" t="s">
        <v>164</v>
      </c>
      <c r="F129" s="4" t="s">
        <v>19</v>
      </c>
      <c r="G129" s="4">
        <v>28</v>
      </c>
      <c r="H129" s="4">
        <v>5</v>
      </c>
      <c r="I129" s="4">
        <v>8</v>
      </c>
      <c r="J129" s="4">
        <v>3</v>
      </c>
      <c r="K129" s="4">
        <v>0</v>
      </c>
      <c r="L129" s="4">
        <v>20</v>
      </c>
      <c r="M129" s="4">
        <v>176</v>
      </c>
      <c r="N129" s="4">
        <v>72</v>
      </c>
      <c r="O129" s="36" t="s">
        <v>20</v>
      </c>
    </row>
    <row r="130" spans="1:15" x14ac:dyDescent="0.25">
      <c r="A130" s="33" t="s">
        <v>219</v>
      </c>
      <c r="B130" s="2">
        <v>35</v>
      </c>
      <c r="C130" s="1" t="s">
        <v>220</v>
      </c>
      <c r="D130" s="2" t="s">
        <v>182</v>
      </c>
      <c r="E130" s="1" t="s">
        <v>164</v>
      </c>
      <c r="F130" s="2" t="s">
        <v>67</v>
      </c>
      <c r="G130" s="2">
        <v>34</v>
      </c>
      <c r="H130" s="2">
        <v>0</v>
      </c>
      <c r="I130" s="2">
        <v>0</v>
      </c>
      <c r="J130" s="2">
        <v>3</v>
      </c>
      <c r="K130" s="2">
        <v>0</v>
      </c>
      <c r="L130" s="2">
        <v>8</v>
      </c>
      <c r="M130" s="2">
        <v>188</v>
      </c>
      <c r="N130" s="2">
        <v>84</v>
      </c>
      <c r="O130" s="35" t="s">
        <v>20</v>
      </c>
    </row>
    <row r="131" spans="1:15" x14ac:dyDescent="0.25">
      <c r="A131" s="34" t="s">
        <v>221</v>
      </c>
      <c r="B131" s="4">
        <v>29</v>
      </c>
      <c r="C131" s="3" t="s">
        <v>222</v>
      </c>
      <c r="D131" s="4" t="s">
        <v>182</v>
      </c>
      <c r="E131" s="3" t="s">
        <v>164</v>
      </c>
      <c r="F131" s="4" t="s">
        <v>24</v>
      </c>
      <c r="G131" s="4">
        <v>20</v>
      </c>
      <c r="H131" s="4">
        <v>8</v>
      </c>
      <c r="I131" s="4">
        <v>3</v>
      </c>
      <c r="J131" s="4">
        <v>2</v>
      </c>
      <c r="K131" s="4">
        <v>0</v>
      </c>
      <c r="L131" s="4">
        <v>25</v>
      </c>
      <c r="M131" s="4">
        <v>191</v>
      </c>
      <c r="N131" s="4">
        <v>86</v>
      </c>
      <c r="O131" s="36" t="s">
        <v>20</v>
      </c>
    </row>
    <row r="132" spans="1:15" x14ac:dyDescent="0.25">
      <c r="A132" s="33" t="s">
        <v>223</v>
      </c>
      <c r="B132" s="2">
        <v>26</v>
      </c>
      <c r="C132" s="1" t="s">
        <v>95</v>
      </c>
      <c r="D132" s="2" t="s">
        <v>182</v>
      </c>
      <c r="E132" s="1" t="s">
        <v>164</v>
      </c>
      <c r="F132" s="2" t="s">
        <v>74</v>
      </c>
      <c r="G132" s="2">
        <v>29</v>
      </c>
      <c r="H132" s="2">
        <v>4</v>
      </c>
      <c r="I132" s="2">
        <v>6</v>
      </c>
      <c r="J132" s="2">
        <v>6</v>
      </c>
      <c r="K132" s="2">
        <v>0</v>
      </c>
      <c r="L132" s="2">
        <v>30</v>
      </c>
      <c r="M132" s="2">
        <v>180</v>
      </c>
      <c r="N132" s="2">
        <v>78</v>
      </c>
      <c r="O132" s="35" t="s">
        <v>20</v>
      </c>
    </row>
    <row r="133" spans="1:15" x14ac:dyDescent="0.25">
      <c r="A133" s="34" t="s">
        <v>224</v>
      </c>
      <c r="B133" s="4">
        <v>28</v>
      </c>
      <c r="C133" s="3" t="s">
        <v>130</v>
      </c>
      <c r="D133" s="4" t="s">
        <v>182</v>
      </c>
      <c r="E133" s="3" t="s">
        <v>164</v>
      </c>
      <c r="F133" s="4" t="s">
        <v>60</v>
      </c>
      <c r="G133" s="4">
        <v>33</v>
      </c>
      <c r="H133" s="4">
        <v>2</v>
      </c>
      <c r="I133" s="4">
        <v>1</v>
      </c>
      <c r="J133" s="4">
        <v>4</v>
      </c>
      <c r="K133" s="4">
        <v>0</v>
      </c>
      <c r="L133" s="4">
        <v>35</v>
      </c>
      <c r="M133" s="4">
        <v>195</v>
      </c>
      <c r="N133" s="4">
        <v>94</v>
      </c>
      <c r="O133" s="36" t="s">
        <v>20</v>
      </c>
    </row>
    <row r="134" spans="1:15" x14ac:dyDescent="0.25">
      <c r="A134" s="33" t="s">
        <v>225</v>
      </c>
      <c r="B134" s="2">
        <v>30</v>
      </c>
      <c r="C134" s="1" t="s">
        <v>130</v>
      </c>
      <c r="D134" s="2" t="s">
        <v>182</v>
      </c>
      <c r="E134" s="1" t="s">
        <v>164</v>
      </c>
      <c r="F134" s="2" t="s">
        <v>62</v>
      </c>
      <c r="G134" s="2">
        <v>33</v>
      </c>
      <c r="H134" s="2">
        <v>3</v>
      </c>
      <c r="I134" s="2">
        <v>5</v>
      </c>
      <c r="J134" s="2">
        <v>9</v>
      </c>
      <c r="K134" s="2">
        <v>1</v>
      </c>
      <c r="L134" s="2">
        <v>20</v>
      </c>
      <c r="M134" s="2">
        <v>187</v>
      </c>
      <c r="N134" s="2">
        <v>81</v>
      </c>
      <c r="O134" s="35" t="s">
        <v>20</v>
      </c>
    </row>
    <row r="135" spans="1:15" x14ac:dyDescent="0.25">
      <c r="A135" s="34" t="s">
        <v>226</v>
      </c>
      <c r="B135" s="4">
        <v>43</v>
      </c>
      <c r="C135" s="3" t="s">
        <v>66</v>
      </c>
      <c r="D135" s="4" t="s">
        <v>182</v>
      </c>
      <c r="E135" s="3" t="s">
        <v>164</v>
      </c>
      <c r="F135" s="4" t="s">
        <v>74</v>
      </c>
      <c r="G135" s="4">
        <v>0</v>
      </c>
      <c r="H135" s="4">
        <v>0</v>
      </c>
      <c r="I135" s="4">
        <v>0</v>
      </c>
      <c r="J135" s="4">
        <v>0</v>
      </c>
      <c r="K135" s="4">
        <v>0</v>
      </c>
      <c r="L135" s="4">
        <v>0</v>
      </c>
      <c r="M135" s="4">
        <v>181</v>
      </c>
      <c r="N135" s="4">
        <v>78</v>
      </c>
      <c r="O135" s="36" t="s">
        <v>20</v>
      </c>
    </row>
    <row r="136" spans="1:15" x14ac:dyDescent="0.25">
      <c r="A136" s="33" t="s">
        <v>227</v>
      </c>
      <c r="B136" s="2">
        <v>27</v>
      </c>
      <c r="C136" s="1" t="s">
        <v>86</v>
      </c>
      <c r="D136" s="2" t="s">
        <v>182</v>
      </c>
      <c r="E136" s="1" t="s">
        <v>228</v>
      </c>
      <c r="F136" s="2" t="s">
        <v>42</v>
      </c>
      <c r="G136" s="2">
        <v>10</v>
      </c>
      <c r="H136" s="2">
        <v>3</v>
      </c>
      <c r="I136" s="2">
        <v>2</v>
      </c>
      <c r="J136" s="2">
        <v>1</v>
      </c>
      <c r="K136" s="2">
        <v>0</v>
      </c>
      <c r="L136" s="2">
        <v>40</v>
      </c>
      <c r="M136" s="2">
        <v>175</v>
      </c>
      <c r="N136" s="2">
        <v>73</v>
      </c>
      <c r="O136" s="35" t="s">
        <v>20</v>
      </c>
    </row>
    <row r="137" spans="1:15" x14ac:dyDescent="0.25">
      <c r="A137" s="34" t="s">
        <v>229</v>
      </c>
      <c r="B137" s="4">
        <v>24</v>
      </c>
      <c r="C137" s="3" t="s">
        <v>71</v>
      </c>
      <c r="D137" s="4" t="s">
        <v>182</v>
      </c>
      <c r="E137" s="3" t="s">
        <v>228</v>
      </c>
      <c r="F137" s="4" t="s">
        <v>24</v>
      </c>
      <c r="G137" s="4">
        <v>31</v>
      </c>
      <c r="H137" s="4">
        <v>15</v>
      </c>
      <c r="I137" s="4">
        <v>5</v>
      </c>
      <c r="J137" s="4">
        <v>3</v>
      </c>
      <c r="K137" s="4">
        <v>0</v>
      </c>
      <c r="L137" s="4">
        <v>55</v>
      </c>
      <c r="M137" s="4">
        <v>176</v>
      </c>
      <c r="N137" s="4">
        <v>72</v>
      </c>
      <c r="O137" s="36" t="s">
        <v>20</v>
      </c>
    </row>
    <row r="138" spans="1:15" x14ac:dyDescent="0.25">
      <c r="A138" s="33" t="s">
        <v>230</v>
      </c>
      <c r="B138" s="2">
        <v>22</v>
      </c>
      <c r="C138" s="1" t="s">
        <v>59</v>
      </c>
      <c r="D138" s="2" t="s">
        <v>182</v>
      </c>
      <c r="E138" s="1" t="s">
        <v>228</v>
      </c>
      <c r="F138" s="2" t="s">
        <v>45</v>
      </c>
      <c r="G138" s="2">
        <v>34</v>
      </c>
      <c r="H138" s="2">
        <v>10</v>
      </c>
      <c r="I138" s="2">
        <v>12</v>
      </c>
      <c r="J138" s="2">
        <v>5</v>
      </c>
      <c r="K138" s="2">
        <v>0</v>
      </c>
      <c r="L138" s="2">
        <v>100</v>
      </c>
      <c r="M138" s="2">
        <v>173</v>
      </c>
      <c r="N138" s="2">
        <v>67</v>
      </c>
      <c r="O138" s="35" t="s">
        <v>20</v>
      </c>
    </row>
    <row r="139" spans="1:15" x14ac:dyDescent="0.25">
      <c r="A139" s="34" t="s">
        <v>231</v>
      </c>
      <c r="B139" s="4">
        <v>21</v>
      </c>
      <c r="C139" s="3" t="s">
        <v>134</v>
      </c>
      <c r="D139" s="4" t="s">
        <v>182</v>
      </c>
      <c r="E139" s="3" t="s">
        <v>228</v>
      </c>
      <c r="F139" s="4" t="s">
        <v>24</v>
      </c>
      <c r="G139" s="4">
        <v>32</v>
      </c>
      <c r="H139" s="4">
        <v>18</v>
      </c>
      <c r="I139" s="4">
        <v>5</v>
      </c>
      <c r="J139" s="4">
        <v>2</v>
      </c>
      <c r="K139" s="4">
        <v>0</v>
      </c>
      <c r="L139" s="4">
        <v>80</v>
      </c>
      <c r="M139" s="4">
        <v>195</v>
      </c>
      <c r="N139" s="4">
        <v>86</v>
      </c>
      <c r="O139" s="36" t="s">
        <v>20</v>
      </c>
    </row>
    <row r="140" spans="1:15" x14ac:dyDescent="0.25">
      <c r="A140" s="33" t="s">
        <v>232</v>
      </c>
      <c r="B140" s="2">
        <v>34</v>
      </c>
      <c r="C140" s="1" t="s">
        <v>233</v>
      </c>
      <c r="D140" s="2" t="s">
        <v>182</v>
      </c>
      <c r="E140" s="1" t="s">
        <v>228</v>
      </c>
      <c r="F140" s="2" t="s">
        <v>67</v>
      </c>
      <c r="G140" s="2">
        <v>28</v>
      </c>
      <c r="H140" s="2">
        <v>0</v>
      </c>
      <c r="I140" s="2">
        <v>0</v>
      </c>
      <c r="J140" s="2">
        <v>1</v>
      </c>
      <c r="K140" s="2">
        <v>0</v>
      </c>
      <c r="L140" s="2">
        <v>8</v>
      </c>
      <c r="M140" s="2">
        <v>190</v>
      </c>
      <c r="N140" s="2">
        <v>83</v>
      </c>
      <c r="O140" s="35" t="s">
        <v>20</v>
      </c>
    </row>
    <row r="141" spans="1:15" x14ac:dyDescent="0.25">
      <c r="A141" s="34" t="s">
        <v>234</v>
      </c>
      <c r="B141" s="4">
        <v>32</v>
      </c>
      <c r="C141" s="3" t="s">
        <v>233</v>
      </c>
      <c r="D141" s="4" t="s">
        <v>182</v>
      </c>
      <c r="E141" s="3" t="s">
        <v>228</v>
      </c>
      <c r="F141" s="4" t="s">
        <v>60</v>
      </c>
      <c r="G141" s="4">
        <v>30</v>
      </c>
      <c r="H141" s="4">
        <v>2</v>
      </c>
      <c r="I141" s="4">
        <v>1</v>
      </c>
      <c r="J141" s="4">
        <v>5</v>
      </c>
      <c r="K141" s="4">
        <v>0</v>
      </c>
      <c r="L141" s="4">
        <v>8</v>
      </c>
      <c r="M141" s="4">
        <v>185</v>
      </c>
      <c r="N141" s="4">
        <v>79</v>
      </c>
      <c r="O141" s="36" t="s">
        <v>20</v>
      </c>
    </row>
    <row r="142" spans="1:15" x14ac:dyDescent="0.25">
      <c r="A142" s="33" t="s">
        <v>235</v>
      </c>
      <c r="B142" s="2">
        <v>33</v>
      </c>
      <c r="C142" s="1" t="s">
        <v>134</v>
      </c>
      <c r="D142" s="2" t="s">
        <v>182</v>
      </c>
      <c r="E142" s="1" t="s">
        <v>228</v>
      </c>
      <c r="F142" s="2" t="s">
        <v>74</v>
      </c>
      <c r="G142" s="2">
        <v>26</v>
      </c>
      <c r="H142" s="2">
        <v>1</v>
      </c>
      <c r="I142" s="2">
        <v>4</v>
      </c>
      <c r="J142" s="2">
        <v>6</v>
      </c>
      <c r="K142" s="2">
        <v>0</v>
      </c>
      <c r="L142" s="2">
        <v>6</v>
      </c>
      <c r="M142" s="2">
        <v>179</v>
      </c>
      <c r="N142" s="2">
        <v>75</v>
      </c>
      <c r="O142" s="35" t="s">
        <v>20</v>
      </c>
    </row>
    <row r="143" spans="1:15" x14ac:dyDescent="0.25">
      <c r="A143" s="34" t="s">
        <v>236</v>
      </c>
      <c r="B143" s="4">
        <v>25</v>
      </c>
      <c r="C143" s="3" t="s">
        <v>174</v>
      </c>
      <c r="D143" s="4" t="s">
        <v>182</v>
      </c>
      <c r="E143" s="3" t="s">
        <v>228</v>
      </c>
      <c r="F143" s="4" t="s">
        <v>45</v>
      </c>
      <c r="G143" s="4">
        <v>30</v>
      </c>
      <c r="H143" s="4">
        <v>6</v>
      </c>
      <c r="I143" s="4">
        <v>7</v>
      </c>
      <c r="J143" s="4">
        <v>4</v>
      </c>
      <c r="K143" s="4">
        <v>0</v>
      </c>
      <c r="L143" s="4">
        <v>30</v>
      </c>
      <c r="M143" s="4">
        <v>180</v>
      </c>
      <c r="N143" s="4">
        <v>72</v>
      </c>
      <c r="O143" s="36" t="s">
        <v>20</v>
      </c>
    </row>
    <row r="144" spans="1:15" x14ac:dyDescent="0.25">
      <c r="A144" s="33" t="s">
        <v>237</v>
      </c>
      <c r="B144" s="2">
        <v>23</v>
      </c>
      <c r="C144" s="1" t="s">
        <v>174</v>
      </c>
      <c r="D144" s="2" t="s">
        <v>182</v>
      </c>
      <c r="E144" s="1" t="s">
        <v>228</v>
      </c>
      <c r="F144" s="2" t="s">
        <v>62</v>
      </c>
      <c r="G144" s="2">
        <v>27</v>
      </c>
      <c r="H144" s="2">
        <v>2</v>
      </c>
      <c r="I144" s="2">
        <v>3</v>
      </c>
      <c r="J144" s="2">
        <v>7</v>
      </c>
      <c r="K144" s="2">
        <v>0</v>
      </c>
      <c r="L144" s="2">
        <v>25</v>
      </c>
      <c r="M144" s="2">
        <v>181</v>
      </c>
      <c r="N144" s="2">
        <v>78</v>
      </c>
      <c r="O144" s="35" t="s">
        <v>20</v>
      </c>
    </row>
    <row r="145" spans="1:15" x14ac:dyDescent="0.25">
      <c r="A145" s="34" t="s">
        <v>238</v>
      </c>
      <c r="B145" s="4">
        <v>28</v>
      </c>
      <c r="C145" s="3" t="s">
        <v>130</v>
      </c>
      <c r="D145" s="4" t="s">
        <v>182</v>
      </c>
      <c r="E145" s="3" t="s">
        <v>239</v>
      </c>
      <c r="F145" s="4" t="s">
        <v>24</v>
      </c>
      <c r="G145" s="4">
        <v>32</v>
      </c>
      <c r="H145" s="4">
        <v>18</v>
      </c>
      <c r="I145" s="4">
        <v>8</v>
      </c>
      <c r="J145" s="4">
        <v>5</v>
      </c>
      <c r="K145" s="4">
        <v>0</v>
      </c>
      <c r="L145" s="4">
        <v>35</v>
      </c>
      <c r="M145" s="4">
        <v>179</v>
      </c>
      <c r="N145" s="4">
        <v>74</v>
      </c>
      <c r="O145" s="36" t="s">
        <v>20</v>
      </c>
    </row>
    <row r="146" spans="1:15" x14ac:dyDescent="0.25">
      <c r="A146" s="33" t="s">
        <v>240</v>
      </c>
      <c r="B146" s="2">
        <v>26</v>
      </c>
      <c r="C146" s="1" t="s">
        <v>130</v>
      </c>
      <c r="D146" s="2" t="s">
        <v>182</v>
      </c>
      <c r="E146" s="1" t="s">
        <v>239</v>
      </c>
      <c r="F146" s="2" t="s">
        <v>50</v>
      </c>
      <c r="G146" s="2">
        <v>34</v>
      </c>
      <c r="H146" s="2">
        <v>9</v>
      </c>
      <c r="I146" s="2">
        <v>9</v>
      </c>
      <c r="J146" s="2">
        <v>5</v>
      </c>
      <c r="K146" s="2">
        <v>0</v>
      </c>
      <c r="L146" s="2">
        <v>25</v>
      </c>
      <c r="M146" s="2">
        <v>180</v>
      </c>
      <c r="N146" s="2">
        <v>76</v>
      </c>
      <c r="O146" s="35" t="s">
        <v>20</v>
      </c>
    </row>
    <row r="147" spans="1:15" x14ac:dyDescent="0.25">
      <c r="A147" s="34" t="s">
        <v>241</v>
      </c>
      <c r="B147" s="4">
        <v>23</v>
      </c>
      <c r="C147" s="3" t="s">
        <v>86</v>
      </c>
      <c r="D147" s="4" t="s">
        <v>182</v>
      </c>
      <c r="E147" s="3" t="s">
        <v>239</v>
      </c>
      <c r="F147" s="4" t="s">
        <v>74</v>
      </c>
      <c r="G147" s="4">
        <v>31</v>
      </c>
      <c r="H147" s="4">
        <v>8</v>
      </c>
      <c r="I147" s="4">
        <v>9</v>
      </c>
      <c r="J147" s="4">
        <v>4</v>
      </c>
      <c r="K147" s="4">
        <v>0</v>
      </c>
      <c r="L147" s="4">
        <v>30</v>
      </c>
      <c r="M147" s="4">
        <v>183</v>
      </c>
      <c r="N147" s="4">
        <v>78</v>
      </c>
      <c r="O147" s="36" t="s">
        <v>20</v>
      </c>
    </row>
    <row r="148" spans="1:15" x14ac:dyDescent="0.25">
      <c r="A148" s="33" t="s">
        <v>242</v>
      </c>
      <c r="B148" s="2">
        <v>28</v>
      </c>
      <c r="C148" s="1" t="s">
        <v>130</v>
      </c>
      <c r="D148" s="2" t="s">
        <v>182</v>
      </c>
      <c r="E148" s="1" t="s">
        <v>239</v>
      </c>
      <c r="F148" s="2" t="s">
        <v>67</v>
      </c>
      <c r="G148" s="2">
        <v>34</v>
      </c>
      <c r="H148" s="2">
        <v>0</v>
      </c>
      <c r="I148" s="2">
        <v>0</v>
      </c>
      <c r="J148" s="2">
        <v>2</v>
      </c>
      <c r="K148" s="2">
        <v>0</v>
      </c>
      <c r="L148" s="2">
        <v>20</v>
      </c>
      <c r="M148" s="2">
        <v>193</v>
      </c>
      <c r="N148" s="2">
        <v>90</v>
      </c>
      <c r="O148" s="35" t="s">
        <v>20</v>
      </c>
    </row>
    <row r="149" spans="1:15" x14ac:dyDescent="0.25">
      <c r="A149" s="34" t="s">
        <v>243</v>
      </c>
      <c r="B149" s="4">
        <v>25</v>
      </c>
      <c r="C149" s="3" t="s">
        <v>244</v>
      </c>
      <c r="D149" s="4" t="s">
        <v>245</v>
      </c>
      <c r="E149" s="3" t="s">
        <v>246</v>
      </c>
      <c r="F149" s="4" t="s">
        <v>24</v>
      </c>
      <c r="G149" s="4">
        <v>37</v>
      </c>
      <c r="H149" s="4">
        <v>25</v>
      </c>
      <c r="I149" s="4">
        <v>9</v>
      </c>
      <c r="J149" s="4">
        <v>5</v>
      </c>
      <c r="K149" s="4">
        <v>0</v>
      </c>
      <c r="L149" s="4">
        <v>45</v>
      </c>
      <c r="M149" s="4">
        <v>184</v>
      </c>
      <c r="N149" s="4">
        <v>82</v>
      </c>
      <c r="O149" s="36" t="s">
        <v>20</v>
      </c>
    </row>
    <row r="150" spans="1:15" x14ac:dyDescent="0.25">
      <c r="A150" s="33" t="s">
        <v>247</v>
      </c>
      <c r="B150" s="2">
        <v>27</v>
      </c>
      <c r="C150" s="1" t="s">
        <v>95</v>
      </c>
      <c r="D150" s="2" t="s">
        <v>245</v>
      </c>
      <c r="E150" s="1" t="s">
        <v>248</v>
      </c>
      <c r="F150" s="2" t="s">
        <v>24</v>
      </c>
      <c r="G150" s="2">
        <v>33</v>
      </c>
      <c r="H150" s="2">
        <v>16</v>
      </c>
      <c r="I150" s="2">
        <v>6</v>
      </c>
      <c r="J150" s="2">
        <v>5</v>
      </c>
      <c r="K150" s="2">
        <v>0</v>
      </c>
      <c r="L150" s="2">
        <v>110</v>
      </c>
      <c r="M150" s="2">
        <v>174</v>
      </c>
      <c r="N150" s="2">
        <v>72</v>
      </c>
      <c r="O150" s="35" t="s">
        <v>20</v>
      </c>
    </row>
    <row r="151" spans="1:15" x14ac:dyDescent="0.25">
      <c r="A151" s="34" t="s">
        <v>249</v>
      </c>
      <c r="B151" s="4">
        <v>33</v>
      </c>
      <c r="C151" s="3" t="s">
        <v>250</v>
      </c>
      <c r="D151" s="4" t="s">
        <v>245</v>
      </c>
      <c r="E151" s="3" t="s">
        <v>251</v>
      </c>
      <c r="F151" s="4" t="s">
        <v>24</v>
      </c>
      <c r="G151" s="4">
        <v>4</v>
      </c>
      <c r="H151" s="4">
        <v>1</v>
      </c>
      <c r="I151" s="4">
        <v>0</v>
      </c>
      <c r="J151" s="4">
        <v>0</v>
      </c>
      <c r="K151" s="4">
        <v>0</v>
      </c>
      <c r="L151" s="4">
        <v>8</v>
      </c>
      <c r="M151" s="4">
        <v>190</v>
      </c>
      <c r="N151" s="4">
        <v>88</v>
      </c>
      <c r="O151" s="36" t="s">
        <v>20</v>
      </c>
    </row>
    <row r="152" spans="1:15" x14ac:dyDescent="0.25">
      <c r="A152" s="33" t="s">
        <v>252</v>
      </c>
      <c r="B152" s="2">
        <v>27</v>
      </c>
      <c r="C152" s="1" t="s">
        <v>190</v>
      </c>
      <c r="D152" s="2" t="s">
        <v>245</v>
      </c>
      <c r="E152" s="1" t="s">
        <v>246</v>
      </c>
      <c r="F152" s="2" t="s">
        <v>50</v>
      </c>
      <c r="G152" s="2">
        <v>36</v>
      </c>
      <c r="H152" s="2">
        <v>13</v>
      </c>
      <c r="I152" s="2">
        <v>13</v>
      </c>
      <c r="J152" s="2">
        <v>5</v>
      </c>
      <c r="K152" s="2">
        <v>0</v>
      </c>
      <c r="L152" s="2">
        <v>60</v>
      </c>
      <c r="M152" s="2">
        <v>175</v>
      </c>
      <c r="N152" s="2">
        <v>70</v>
      </c>
      <c r="O152" s="35" t="s">
        <v>20</v>
      </c>
    </row>
    <row r="153" spans="1:15" x14ac:dyDescent="0.25">
      <c r="A153" s="34" t="s">
        <v>253</v>
      </c>
      <c r="B153" s="4">
        <v>27</v>
      </c>
      <c r="C153" s="3" t="s">
        <v>86</v>
      </c>
      <c r="D153" s="4" t="s">
        <v>245</v>
      </c>
      <c r="E153" s="3" t="s">
        <v>248</v>
      </c>
      <c r="F153" s="4" t="s">
        <v>24</v>
      </c>
      <c r="G153" s="4">
        <v>35</v>
      </c>
      <c r="H153" s="4">
        <v>15</v>
      </c>
      <c r="I153" s="4">
        <v>12</v>
      </c>
      <c r="J153" s="4">
        <v>4</v>
      </c>
      <c r="K153" s="4">
        <v>0</v>
      </c>
      <c r="L153" s="4">
        <v>70</v>
      </c>
      <c r="M153" s="4">
        <v>192</v>
      </c>
      <c r="N153" s="4">
        <v>85</v>
      </c>
      <c r="O153" s="36" t="s">
        <v>20</v>
      </c>
    </row>
    <row r="154" spans="1:15" x14ac:dyDescent="0.25">
      <c r="A154" s="33" t="s">
        <v>254</v>
      </c>
      <c r="B154" s="2">
        <v>23</v>
      </c>
      <c r="C154" s="1" t="s">
        <v>169</v>
      </c>
      <c r="D154" s="2" t="s">
        <v>245</v>
      </c>
      <c r="E154" s="1" t="s">
        <v>255</v>
      </c>
      <c r="F154" s="2" t="s">
        <v>50</v>
      </c>
      <c r="G154" s="2">
        <v>17</v>
      </c>
      <c r="H154" s="2">
        <v>7</v>
      </c>
      <c r="I154" s="2">
        <v>5</v>
      </c>
      <c r="J154" s="2">
        <v>3</v>
      </c>
      <c r="K154" s="2">
        <v>0</v>
      </c>
      <c r="L154" s="2">
        <v>90</v>
      </c>
      <c r="M154" s="2">
        <v>183</v>
      </c>
      <c r="N154" s="2">
        <v>75</v>
      </c>
      <c r="O154" s="35" t="s">
        <v>20</v>
      </c>
    </row>
    <row r="155" spans="1:15" x14ac:dyDescent="0.25">
      <c r="A155" s="34" t="s">
        <v>256</v>
      </c>
      <c r="B155" s="4">
        <v>26</v>
      </c>
      <c r="C155" s="3" t="s">
        <v>190</v>
      </c>
      <c r="D155" s="4" t="s">
        <v>245</v>
      </c>
      <c r="E155" s="3" t="s">
        <v>255</v>
      </c>
      <c r="F155" s="4" t="s">
        <v>24</v>
      </c>
      <c r="G155" s="4">
        <v>0</v>
      </c>
      <c r="H155" s="4">
        <v>0</v>
      </c>
      <c r="I155" s="4">
        <v>0</v>
      </c>
      <c r="J155" s="4">
        <v>0</v>
      </c>
      <c r="K155" s="4">
        <v>0</v>
      </c>
      <c r="L155" s="4">
        <v>75</v>
      </c>
      <c r="M155" s="4">
        <v>185</v>
      </c>
      <c r="N155" s="4">
        <v>78</v>
      </c>
      <c r="O155" s="36" t="s">
        <v>20</v>
      </c>
    </row>
    <row r="156" spans="1:15" x14ac:dyDescent="0.25">
      <c r="A156" s="33" t="s">
        <v>257</v>
      </c>
      <c r="B156" s="2">
        <v>25</v>
      </c>
      <c r="C156" s="1" t="s">
        <v>52</v>
      </c>
      <c r="D156" s="2" t="s">
        <v>245</v>
      </c>
      <c r="E156" s="1" t="s">
        <v>258</v>
      </c>
      <c r="F156" s="2" t="s">
        <v>50</v>
      </c>
      <c r="G156" s="2">
        <v>33</v>
      </c>
      <c r="H156" s="2">
        <v>11</v>
      </c>
      <c r="I156" s="2">
        <v>10</v>
      </c>
      <c r="J156" s="2">
        <v>4</v>
      </c>
      <c r="K156" s="2">
        <v>0</v>
      </c>
      <c r="L156" s="2">
        <v>90</v>
      </c>
      <c r="M156" s="2">
        <v>188</v>
      </c>
      <c r="N156" s="2">
        <v>82</v>
      </c>
      <c r="O156" s="35" t="s">
        <v>20</v>
      </c>
    </row>
    <row r="157" spans="1:15" x14ac:dyDescent="0.25">
      <c r="A157" s="34" t="s">
        <v>259</v>
      </c>
      <c r="B157" s="4">
        <v>27</v>
      </c>
      <c r="C157" s="3" t="s">
        <v>86</v>
      </c>
      <c r="D157" s="4" t="s">
        <v>245</v>
      </c>
      <c r="E157" s="3" t="s">
        <v>258</v>
      </c>
      <c r="F157" s="4" t="s">
        <v>90</v>
      </c>
      <c r="G157" s="4">
        <v>30</v>
      </c>
      <c r="H157" s="4">
        <v>5</v>
      </c>
      <c r="I157" s="4">
        <v>9</v>
      </c>
      <c r="J157" s="4">
        <v>6</v>
      </c>
      <c r="K157" s="4">
        <v>0</v>
      </c>
      <c r="L157" s="4">
        <v>65</v>
      </c>
      <c r="M157" s="4">
        <v>184</v>
      </c>
      <c r="N157" s="4">
        <v>83</v>
      </c>
      <c r="O157" s="36" t="s">
        <v>20</v>
      </c>
    </row>
    <row r="158" spans="1:15" x14ac:dyDescent="0.25">
      <c r="A158" s="33" t="s">
        <v>260</v>
      </c>
      <c r="B158" s="2">
        <v>29</v>
      </c>
      <c r="C158" s="1" t="s">
        <v>86</v>
      </c>
      <c r="D158" s="2" t="s">
        <v>245</v>
      </c>
      <c r="E158" s="1" t="s">
        <v>258</v>
      </c>
      <c r="F158" s="2" t="s">
        <v>67</v>
      </c>
      <c r="G158" s="2">
        <v>34</v>
      </c>
      <c r="H158" s="2">
        <v>0</v>
      </c>
      <c r="I158" s="2">
        <v>0</v>
      </c>
      <c r="J158" s="2">
        <v>1</v>
      </c>
      <c r="K158" s="2">
        <v>0</v>
      </c>
      <c r="L158" s="2">
        <v>55</v>
      </c>
      <c r="M158" s="2">
        <v>191</v>
      </c>
      <c r="N158" s="2">
        <v>86</v>
      </c>
      <c r="O158" s="35" t="s">
        <v>20</v>
      </c>
    </row>
    <row r="159" spans="1:15" x14ac:dyDescent="0.25">
      <c r="A159" s="34" t="s">
        <v>261</v>
      </c>
      <c r="B159" s="4">
        <v>31</v>
      </c>
      <c r="C159" s="3" t="s">
        <v>95</v>
      </c>
      <c r="D159" s="4" t="s">
        <v>245</v>
      </c>
      <c r="E159" s="3" t="s">
        <v>157</v>
      </c>
      <c r="F159" s="4" t="s">
        <v>42</v>
      </c>
      <c r="G159" s="4">
        <v>27</v>
      </c>
      <c r="H159" s="4">
        <v>9</v>
      </c>
      <c r="I159" s="4">
        <v>7</v>
      </c>
      <c r="J159" s="4">
        <v>3</v>
      </c>
      <c r="K159" s="4">
        <v>0</v>
      </c>
      <c r="L159" s="4">
        <v>18</v>
      </c>
      <c r="M159" s="4">
        <v>177</v>
      </c>
      <c r="N159" s="4">
        <v>75</v>
      </c>
      <c r="O159" s="36" t="s">
        <v>20</v>
      </c>
    </row>
    <row r="160" spans="1:15" x14ac:dyDescent="0.25">
      <c r="A160" s="33" t="s">
        <v>262</v>
      </c>
      <c r="B160" s="2">
        <v>28</v>
      </c>
      <c r="C160" s="1" t="s">
        <v>244</v>
      </c>
      <c r="D160" s="2" t="s">
        <v>245</v>
      </c>
      <c r="E160" s="1" t="s">
        <v>157</v>
      </c>
      <c r="F160" s="2" t="s">
        <v>45</v>
      </c>
      <c r="G160" s="2">
        <v>33</v>
      </c>
      <c r="H160" s="2">
        <v>8</v>
      </c>
      <c r="I160" s="2">
        <v>8</v>
      </c>
      <c r="J160" s="2">
        <v>6</v>
      </c>
      <c r="K160" s="2">
        <v>0</v>
      </c>
      <c r="L160" s="2">
        <v>30</v>
      </c>
      <c r="M160" s="2">
        <v>185</v>
      </c>
      <c r="N160" s="2">
        <v>78</v>
      </c>
      <c r="O160" s="35" t="s">
        <v>20</v>
      </c>
    </row>
    <row r="161" spans="1:15" x14ac:dyDescent="0.25">
      <c r="A161" s="34" t="s">
        <v>263</v>
      </c>
      <c r="B161" s="4">
        <v>27</v>
      </c>
      <c r="C161" s="3" t="s">
        <v>244</v>
      </c>
      <c r="D161" s="4" t="s">
        <v>245</v>
      </c>
      <c r="E161" s="3" t="s">
        <v>248</v>
      </c>
      <c r="F161" s="4" t="s">
        <v>74</v>
      </c>
      <c r="G161" s="4">
        <v>34</v>
      </c>
      <c r="H161" s="4">
        <v>5</v>
      </c>
      <c r="I161" s="4">
        <v>12</v>
      </c>
      <c r="J161" s="4">
        <v>9</v>
      </c>
      <c r="K161" s="4">
        <v>1</v>
      </c>
      <c r="L161" s="4">
        <v>80</v>
      </c>
      <c r="M161" s="4">
        <v>172</v>
      </c>
      <c r="N161" s="4">
        <v>68</v>
      </c>
      <c r="O161" s="36" t="s">
        <v>20</v>
      </c>
    </row>
    <row r="162" spans="1:15" x14ac:dyDescent="0.25">
      <c r="A162" s="33" t="s">
        <v>264</v>
      </c>
      <c r="B162" s="2">
        <v>31</v>
      </c>
      <c r="C162" s="1" t="s">
        <v>265</v>
      </c>
      <c r="D162" s="2" t="s">
        <v>245</v>
      </c>
      <c r="E162" s="1" t="s">
        <v>248</v>
      </c>
      <c r="F162" s="2" t="s">
        <v>62</v>
      </c>
      <c r="G162" s="2">
        <v>33</v>
      </c>
      <c r="H162" s="2">
        <v>8</v>
      </c>
      <c r="I162" s="2">
        <v>10</v>
      </c>
      <c r="J162" s="2">
        <v>9</v>
      </c>
      <c r="K162" s="2">
        <v>0</v>
      </c>
      <c r="L162" s="2">
        <v>45</v>
      </c>
      <c r="M162" s="2">
        <v>178</v>
      </c>
      <c r="N162" s="2">
        <v>76</v>
      </c>
      <c r="O162" s="35" t="s">
        <v>20</v>
      </c>
    </row>
    <row r="163" spans="1:15" x14ac:dyDescent="0.25">
      <c r="A163" s="34" t="s">
        <v>266</v>
      </c>
      <c r="B163" s="4">
        <v>27</v>
      </c>
      <c r="C163" s="3" t="s">
        <v>244</v>
      </c>
      <c r="D163" s="4" t="s">
        <v>245</v>
      </c>
      <c r="E163" s="3" t="s">
        <v>248</v>
      </c>
      <c r="F163" s="4" t="s">
        <v>19</v>
      </c>
      <c r="G163" s="4">
        <v>14</v>
      </c>
      <c r="H163" s="4">
        <v>2</v>
      </c>
      <c r="I163" s="4">
        <v>3</v>
      </c>
      <c r="J163" s="4">
        <v>2</v>
      </c>
      <c r="K163" s="4">
        <v>0</v>
      </c>
      <c r="L163" s="4">
        <v>35</v>
      </c>
      <c r="M163" s="4">
        <v>175</v>
      </c>
      <c r="N163" s="4">
        <v>70</v>
      </c>
      <c r="O163" s="36" t="s">
        <v>20</v>
      </c>
    </row>
    <row r="164" spans="1:15" x14ac:dyDescent="0.25">
      <c r="A164" s="33" t="s">
        <v>267</v>
      </c>
      <c r="B164" s="2">
        <v>48</v>
      </c>
      <c r="C164" s="1" t="s">
        <v>244</v>
      </c>
      <c r="D164" s="2" t="s">
        <v>245</v>
      </c>
      <c r="E164" s="1" t="s">
        <v>248</v>
      </c>
      <c r="F164" s="2" t="s">
        <v>74</v>
      </c>
      <c r="G164" s="2">
        <v>0</v>
      </c>
      <c r="H164" s="2">
        <v>0</v>
      </c>
      <c r="I164" s="2">
        <v>0</v>
      </c>
      <c r="J164" s="2">
        <v>0</v>
      </c>
      <c r="K164" s="2">
        <v>0</v>
      </c>
      <c r="L164" s="2">
        <v>0</v>
      </c>
      <c r="M164" s="2">
        <v>183</v>
      </c>
      <c r="N164" s="2">
        <v>78</v>
      </c>
      <c r="O164" s="35" t="s">
        <v>20</v>
      </c>
    </row>
    <row r="165" spans="1:15" x14ac:dyDescent="0.25">
      <c r="A165" s="34" t="s">
        <v>268</v>
      </c>
      <c r="B165" s="4">
        <v>25</v>
      </c>
      <c r="C165" s="3" t="s">
        <v>244</v>
      </c>
      <c r="D165" s="4" t="s">
        <v>245</v>
      </c>
      <c r="E165" s="3" t="s">
        <v>248</v>
      </c>
      <c r="F165" s="4" t="s">
        <v>60</v>
      </c>
      <c r="G165" s="4">
        <v>34</v>
      </c>
      <c r="H165" s="4">
        <v>2</v>
      </c>
      <c r="I165" s="4">
        <v>5</v>
      </c>
      <c r="J165" s="4">
        <v>4</v>
      </c>
      <c r="K165" s="4">
        <v>0</v>
      </c>
      <c r="L165" s="4">
        <v>80</v>
      </c>
      <c r="M165" s="4">
        <v>190</v>
      </c>
      <c r="N165" s="4">
        <v>85</v>
      </c>
      <c r="O165" s="36" t="s">
        <v>20</v>
      </c>
    </row>
    <row r="166" spans="1:15" x14ac:dyDescent="0.25">
      <c r="A166" s="33" t="s">
        <v>269</v>
      </c>
      <c r="B166" s="2">
        <v>37</v>
      </c>
      <c r="C166" s="1" t="s">
        <v>244</v>
      </c>
      <c r="D166" s="2" t="s">
        <v>245</v>
      </c>
      <c r="E166" s="1" t="s">
        <v>248</v>
      </c>
      <c r="F166" s="2" t="s">
        <v>60</v>
      </c>
      <c r="G166" s="2">
        <v>29</v>
      </c>
      <c r="H166" s="2">
        <v>2</v>
      </c>
      <c r="I166" s="2">
        <v>1</v>
      </c>
      <c r="J166" s="2">
        <v>5</v>
      </c>
      <c r="K166" s="2">
        <v>0</v>
      </c>
      <c r="L166" s="2">
        <v>6</v>
      </c>
      <c r="M166" s="2">
        <v>192</v>
      </c>
      <c r="N166" s="2">
        <v>84</v>
      </c>
      <c r="O166" s="35" t="s">
        <v>20</v>
      </c>
    </row>
    <row r="167" spans="1:15" x14ac:dyDescent="0.25">
      <c r="A167" s="34" t="s">
        <v>270</v>
      </c>
      <c r="B167" s="4">
        <v>36</v>
      </c>
      <c r="C167" s="3" t="s">
        <v>188</v>
      </c>
      <c r="D167" s="4" t="s">
        <v>245</v>
      </c>
      <c r="E167" s="3" t="s">
        <v>248</v>
      </c>
      <c r="F167" s="4" t="s">
        <v>67</v>
      </c>
      <c r="G167" s="4">
        <v>35</v>
      </c>
      <c r="H167" s="4">
        <v>0</v>
      </c>
      <c r="I167" s="4">
        <v>0</v>
      </c>
      <c r="J167" s="4">
        <v>2</v>
      </c>
      <c r="K167" s="4">
        <v>0</v>
      </c>
      <c r="L167" s="4">
        <v>12</v>
      </c>
      <c r="M167" s="4">
        <v>183</v>
      </c>
      <c r="N167" s="4">
        <v>81</v>
      </c>
      <c r="O167" s="36" t="s">
        <v>20</v>
      </c>
    </row>
    <row r="168" spans="1:15" x14ac:dyDescent="0.25">
      <c r="A168" s="33" t="s">
        <v>271</v>
      </c>
      <c r="B168" s="2">
        <v>28</v>
      </c>
      <c r="C168" s="1" t="s">
        <v>59</v>
      </c>
      <c r="D168" s="2" t="s">
        <v>245</v>
      </c>
      <c r="E168" s="1" t="s">
        <v>248</v>
      </c>
      <c r="F168" s="2" t="s">
        <v>64</v>
      </c>
      <c r="G168" s="2">
        <v>31</v>
      </c>
      <c r="H168" s="2">
        <v>4</v>
      </c>
      <c r="I168" s="2">
        <v>7</v>
      </c>
      <c r="J168" s="2">
        <v>5</v>
      </c>
      <c r="K168" s="2">
        <v>0</v>
      </c>
      <c r="L168" s="2">
        <v>35</v>
      </c>
      <c r="M168" s="2">
        <v>187</v>
      </c>
      <c r="N168" s="2">
        <v>82</v>
      </c>
      <c r="O168" s="35" t="s">
        <v>20</v>
      </c>
    </row>
    <row r="169" spans="1:15" x14ac:dyDescent="0.25">
      <c r="A169" s="34" t="s">
        <v>272</v>
      </c>
      <c r="B169" s="4">
        <v>27</v>
      </c>
      <c r="C169" s="3" t="s">
        <v>244</v>
      </c>
      <c r="D169" s="4" t="s">
        <v>245</v>
      </c>
      <c r="E169" s="3" t="s">
        <v>248</v>
      </c>
      <c r="F169" s="4" t="s">
        <v>90</v>
      </c>
      <c r="G169" s="4">
        <v>34</v>
      </c>
      <c r="H169" s="4">
        <v>5</v>
      </c>
      <c r="I169" s="4">
        <v>9</v>
      </c>
      <c r="J169" s="4">
        <v>5</v>
      </c>
      <c r="K169" s="4">
        <v>0</v>
      </c>
      <c r="L169" s="4">
        <v>45</v>
      </c>
      <c r="M169" s="4">
        <v>173</v>
      </c>
      <c r="N169" s="4">
        <v>71</v>
      </c>
      <c r="O169" s="36" t="s">
        <v>20</v>
      </c>
    </row>
    <row r="170" spans="1:15" x14ac:dyDescent="0.25">
      <c r="A170" s="33" t="s">
        <v>273</v>
      </c>
      <c r="B170" s="2">
        <v>25</v>
      </c>
      <c r="C170" s="1" t="s">
        <v>274</v>
      </c>
      <c r="D170" s="2" t="s">
        <v>245</v>
      </c>
      <c r="E170" s="1" t="s">
        <v>275</v>
      </c>
      <c r="F170" s="2" t="s">
        <v>24</v>
      </c>
      <c r="G170" s="2">
        <v>29</v>
      </c>
      <c r="H170" s="2">
        <v>14</v>
      </c>
      <c r="I170" s="2">
        <v>3</v>
      </c>
      <c r="J170" s="2">
        <v>6</v>
      </c>
      <c r="K170" s="2">
        <v>0</v>
      </c>
      <c r="L170" s="2">
        <v>65</v>
      </c>
      <c r="M170" s="2">
        <v>190</v>
      </c>
      <c r="N170" s="2">
        <v>88</v>
      </c>
      <c r="O170" s="35" t="s">
        <v>20</v>
      </c>
    </row>
    <row r="171" spans="1:15" x14ac:dyDescent="0.25">
      <c r="A171" s="34" t="s">
        <v>276</v>
      </c>
      <c r="B171" s="4">
        <v>27</v>
      </c>
      <c r="C171" s="3" t="s">
        <v>244</v>
      </c>
      <c r="D171" s="4" t="s">
        <v>245</v>
      </c>
      <c r="E171" s="3" t="s">
        <v>275</v>
      </c>
      <c r="F171" s="4" t="s">
        <v>19</v>
      </c>
      <c r="G171" s="4">
        <v>5</v>
      </c>
      <c r="H171" s="4">
        <v>0</v>
      </c>
      <c r="I171" s="4">
        <v>1</v>
      </c>
      <c r="J171" s="4">
        <v>1</v>
      </c>
      <c r="K171" s="4">
        <v>0</v>
      </c>
      <c r="L171" s="4">
        <v>20</v>
      </c>
      <c r="M171" s="4">
        <v>175</v>
      </c>
      <c r="N171" s="4">
        <v>70</v>
      </c>
      <c r="O171" s="36" t="s">
        <v>20</v>
      </c>
    </row>
    <row r="172" spans="1:15" x14ac:dyDescent="0.25">
      <c r="A172" s="33" t="s">
        <v>277</v>
      </c>
      <c r="B172" s="2">
        <v>29</v>
      </c>
      <c r="C172" s="1" t="s">
        <v>86</v>
      </c>
      <c r="D172" s="2" t="s">
        <v>245</v>
      </c>
      <c r="E172" s="1" t="s">
        <v>275</v>
      </c>
      <c r="F172" s="2" t="s">
        <v>74</v>
      </c>
      <c r="G172" s="2">
        <v>32</v>
      </c>
      <c r="H172" s="2">
        <v>5</v>
      </c>
      <c r="I172" s="2">
        <v>6</v>
      </c>
      <c r="J172" s="2">
        <v>7</v>
      </c>
      <c r="K172" s="2">
        <v>0</v>
      </c>
      <c r="L172" s="2">
        <v>20</v>
      </c>
      <c r="M172" s="2">
        <v>188</v>
      </c>
      <c r="N172" s="2">
        <v>82</v>
      </c>
      <c r="O172" s="35" t="s">
        <v>20</v>
      </c>
    </row>
    <row r="173" spans="1:15" x14ac:dyDescent="0.25">
      <c r="A173" s="34" t="s">
        <v>278</v>
      </c>
      <c r="B173" s="4">
        <v>27</v>
      </c>
      <c r="C173" s="3" t="s">
        <v>40</v>
      </c>
      <c r="D173" s="4" t="s">
        <v>245</v>
      </c>
      <c r="E173" s="3" t="s">
        <v>275</v>
      </c>
      <c r="F173" s="4" t="s">
        <v>60</v>
      </c>
      <c r="G173" s="4">
        <v>5</v>
      </c>
      <c r="H173" s="4">
        <v>0</v>
      </c>
      <c r="I173" s="4">
        <v>0</v>
      </c>
      <c r="J173" s="4">
        <v>1</v>
      </c>
      <c r="K173" s="4">
        <v>0</v>
      </c>
      <c r="L173" s="4">
        <v>40</v>
      </c>
      <c r="M173" s="4">
        <v>188</v>
      </c>
      <c r="N173" s="4">
        <v>83</v>
      </c>
      <c r="O173" s="36" t="s">
        <v>20</v>
      </c>
    </row>
    <row r="174" spans="1:15" x14ac:dyDescent="0.25">
      <c r="A174" s="33" t="s">
        <v>131</v>
      </c>
      <c r="B174" s="2">
        <v>35</v>
      </c>
      <c r="C174" s="1" t="s">
        <v>116</v>
      </c>
      <c r="D174" s="2" t="s">
        <v>245</v>
      </c>
      <c r="E174" s="1" t="s">
        <v>275</v>
      </c>
      <c r="F174" s="2" t="s">
        <v>67</v>
      </c>
      <c r="G174" s="2">
        <v>5</v>
      </c>
      <c r="H174" s="2">
        <v>0</v>
      </c>
      <c r="I174" s="2">
        <v>0</v>
      </c>
      <c r="J174" s="2">
        <v>0</v>
      </c>
      <c r="K174" s="2">
        <v>0</v>
      </c>
      <c r="L174" s="2">
        <v>3</v>
      </c>
      <c r="M174" s="2">
        <v>196</v>
      </c>
      <c r="N174" s="2">
        <v>88</v>
      </c>
      <c r="O174" s="35" t="s">
        <v>20</v>
      </c>
    </row>
    <row r="175" spans="1:15" x14ac:dyDescent="0.25">
      <c r="A175" s="34" t="s">
        <v>279</v>
      </c>
      <c r="B175" s="4">
        <v>40</v>
      </c>
      <c r="C175" s="3" t="s">
        <v>244</v>
      </c>
      <c r="D175" s="4" t="s">
        <v>245</v>
      </c>
      <c r="E175" s="3" t="s">
        <v>275</v>
      </c>
      <c r="F175" s="4" t="s">
        <v>60</v>
      </c>
      <c r="G175" s="4">
        <v>0</v>
      </c>
      <c r="H175" s="4">
        <v>0</v>
      </c>
      <c r="I175" s="4">
        <v>0</v>
      </c>
      <c r="J175" s="4">
        <v>0</v>
      </c>
      <c r="K175" s="4">
        <v>0</v>
      </c>
      <c r="L175" s="4">
        <v>0</v>
      </c>
      <c r="M175" s="4">
        <v>187</v>
      </c>
      <c r="N175" s="4">
        <v>86</v>
      </c>
      <c r="O175" s="36" t="s">
        <v>20</v>
      </c>
    </row>
    <row r="176" spans="1:15" x14ac:dyDescent="0.25">
      <c r="A176" s="33" t="s">
        <v>280</v>
      </c>
      <c r="B176" s="2">
        <v>27</v>
      </c>
      <c r="C176" s="1" t="s">
        <v>244</v>
      </c>
      <c r="D176" s="2" t="s">
        <v>245</v>
      </c>
      <c r="E176" s="1" t="s">
        <v>275</v>
      </c>
      <c r="F176" s="2" t="s">
        <v>62</v>
      </c>
      <c r="G176" s="2">
        <v>32</v>
      </c>
      <c r="H176" s="2">
        <v>3</v>
      </c>
      <c r="I176" s="2">
        <v>5</v>
      </c>
      <c r="J176" s="2">
        <v>8</v>
      </c>
      <c r="K176" s="2">
        <v>0</v>
      </c>
      <c r="L176" s="2">
        <v>25</v>
      </c>
      <c r="M176" s="2">
        <v>185</v>
      </c>
      <c r="N176" s="2">
        <v>79</v>
      </c>
      <c r="O176" s="35" t="s">
        <v>20</v>
      </c>
    </row>
    <row r="177" spans="1:15" x14ac:dyDescent="0.25">
      <c r="A177" s="34" t="s">
        <v>281</v>
      </c>
      <c r="B177" s="4">
        <v>19</v>
      </c>
      <c r="C177" s="3" t="s">
        <v>265</v>
      </c>
      <c r="D177" s="4" t="s">
        <v>245</v>
      </c>
      <c r="E177" s="3" t="s">
        <v>275</v>
      </c>
      <c r="F177" s="4" t="s">
        <v>45</v>
      </c>
      <c r="G177" s="4">
        <v>34</v>
      </c>
      <c r="H177" s="4">
        <v>10</v>
      </c>
      <c r="I177" s="4">
        <v>7</v>
      </c>
      <c r="J177" s="4">
        <v>5</v>
      </c>
      <c r="K177" s="4">
        <v>0</v>
      </c>
      <c r="L177" s="4">
        <v>50</v>
      </c>
      <c r="M177" s="4">
        <v>186</v>
      </c>
      <c r="N177" s="4">
        <v>74</v>
      </c>
      <c r="O177" s="36" t="s">
        <v>20</v>
      </c>
    </row>
    <row r="178" spans="1:15" x14ac:dyDescent="0.25">
      <c r="A178" s="33" t="s">
        <v>282</v>
      </c>
      <c r="B178" s="2">
        <v>24</v>
      </c>
      <c r="C178" s="1" t="s">
        <v>101</v>
      </c>
      <c r="D178" s="2" t="s">
        <v>245</v>
      </c>
      <c r="E178" s="1" t="s">
        <v>275</v>
      </c>
      <c r="F178" s="2" t="s">
        <v>19</v>
      </c>
      <c r="G178" s="2">
        <v>28</v>
      </c>
      <c r="H178" s="2">
        <v>4</v>
      </c>
      <c r="I178" s="2">
        <v>6</v>
      </c>
      <c r="J178" s="2">
        <v>4</v>
      </c>
      <c r="K178" s="2">
        <v>0</v>
      </c>
      <c r="L178" s="2">
        <v>25</v>
      </c>
      <c r="M178" s="2">
        <v>181</v>
      </c>
      <c r="N178" s="2">
        <v>77</v>
      </c>
      <c r="O178" s="35" t="s">
        <v>20</v>
      </c>
    </row>
    <row r="179" spans="1:15" x14ac:dyDescent="0.25">
      <c r="A179" s="34" t="s">
        <v>283</v>
      </c>
      <c r="B179" s="4">
        <v>26</v>
      </c>
      <c r="C179" s="3" t="s">
        <v>244</v>
      </c>
      <c r="D179" s="4" t="s">
        <v>245</v>
      </c>
      <c r="E179" s="3" t="s">
        <v>246</v>
      </c>
      <c r="F179" s="4" t="s">
        <v>24</v>
      </c>
      <c r="G179" s="4">
        <v>13</v>
      </c>
      <c r="H179" s="4">
        <v>4</v>
      </c>
      <c r="I179" s="4">
        <v>1</v>
      </c>
      <c r="J179" s="4">
        <v>2</v>
      </c>
      <c r="K179" s="4">
        <v>0</v>
      </c>
      <c r="L179" s="4">
        <v>35</v>
      </c>
      <c r="M179" s="4">
        <v>195</v>
      </c>
      <c r="N179" s="4">
        <v>90</v>
      </c>
      <c r="O179" s="36" t="s">
        <v>20</v>
      </c>
    </row>
    <row r="180" spans="1:15" x14ac:dyDescent="0.25">
      <c r="A180" s="33" t="s">
        <v>284</v>
      </c>
      <c r="B180" s="2">
        <v>21</v>
      </c>
      <c r="C180" s="1" t="s">
        <v>244</v>
      </c>
      <c r="D180" s="2" t="s">
        <v>245</v>
      </c>
      <c r="E180" s="1" t="s">
        <v>246</v>
      </c>
      <c r="F180" s="2" t="s">
        <v>60</v>
      </c>
      <c r="G180" s="2">
        <v>22</v>
      </c>
      <c r="H180" s="2">
        <v>2</v>
      </c>
      <c r="I180" s="2">
        <v>2</v>
      </c>
      <c r="J180" s="2">
        <v>3</v>
      </c>
      <c r="K180" s="2">
        <v>0</v>
      </c>
      <c r="L180" s="2">
        <v>45</v>
      </c>
      <c r="M180" s="2">
        <v>194</v>
      </c>
      <c r="N180" s="2">
        <v>86</v>
      </c>
      <c r="O180" s="35" t="s">
        <v>20</v>
      </c>
    </row>
    <row r="181" spans="1:15" x14ac:dyDescent="0.25">
      <c r="A181" s="34" t="s">
        <v>285</v>
      </c>
      <c r="B181" s="4">
        <v>26</v>
      </c>
      <c r="C181" s="3" t="s">
        <v>59</v>
      </c>
      <c r="D181" s="4" t="s">
        <v>245</v>
      </c>
      <c r="E181" s="3" t="s">
        <v>246</v>
      </c>
      <c r="F181" s="4" t="s">
        <v>74</v>
      </c>
      <c r="G181" s="4">
        <v>33</v>
      </c>
      <c r="H181" s="4">
        <v>10</v>
      </c>
      <c r="I181" s="4">
        <v>8</v>
      </c>
      <c r="J181" s="4">
        <v>6</v>
      </c>
      <c r="K181" s="4">
        <v>0</v>
      </c>
      <c r="L181" s="4">
        <v>55</v>
      </c>
      <c r="M181" s="4">
        <v>180</v>
      </c>
      <c r="N181" s="4">
        <v>76</v>
      </c>
      <c r="O181" s="36" t="s">
        <v>20</v>
      </c>
    </row>
    <row r="182" spans="1:15" x14ac:dyDescent="0.25">
      <c r="A182" s="33" t="s">
        <v>286</v>
      </c>
      <c r="B182" s="2">
        <v>29</v>
      </c>
      <c r="C182" s="1" t="s">
        <v>143</v>
      </c>
      <c r="D182" s="2" t="s">
        <v>245</v>
      </c>
      <c r="E182" s="1" t="s">
        <v>246</v>
      </c>
      <c r="F182" s="2" t="s">
        <v>74</v>
      </c>
      <c r="G182" s="2">
        <v>36</v>
      </c>
      <c r="H182" s="2">
        <v>8</v>
      </c>
      <c r="I182" s="2">
        <v>7</v>
      </c>
      <c r="J182" s="2">
        <v>4</v>
      </c>
      <c r="K182" s="2">
        <v>0</v>
      </c>
      <c r="L182" s="2">
        <v>20</v>
      </c>
      <c r="M182" s="2">
        <v>188</v>
      </c>
      <c r="N182" s="2">
        <v>82</v>
      </c>
      <c r="O182" s="35" t="s">
        <v>20</v>
      </c>
    </row>
    <row r="183" spans="1:15" x14ac:dyDescent="0.25">
      <c r="A183" s="34" t="s">
        <v>287</v>
      </c>
      <c r="B183" s="4">
        <v>30</v>
      </c>
      <c r="C183" s="3" t="s">
        <v>95</v>
      </c>
      <c r="D183" s="4" t="s">
        <v>245</v>
      </c>
      <c r="E183" s="3" t="s">
        <v>246</v>
      </c>
      <c r="F183" s="4" t="s">
        <v>67</v>
      </c>
      <c r="G183" s="4">
        <v>25</v>
      </c>
      <c r="H183" s="4">
        <v>0</v>
      </c>
      <c r="I183" s="4">
        <v>0</v>
      </c>
      <c r="J183" s="4">
        <v>1</v>
      </c>
      <c r="K183" s="4">
        <v>0</v>
      </c>
      <c r="L183" s="4">
        <v>15</v>
      </c>
      <c r="M183" s="4">
        <v>192</v>
      </c>
      <c r="N183" s="4">
        <v>86</v>
      </c>
      <c r="O183" s="36" t="s">
        <v>20</v>
      </c>
    </row>
    <row r="184" spans="1:15" x14ac:dyDescent="0.25">
      <c r="A184" s="33" t="s">
        <v>288</v>
      </c>
      <c r="B184" s="2">
        <v>27</v>
      </c>
      <c r="C184" s="1" t="s">
        <v>37</v>
      </c>
      <c r="D184" s="2" t="s">
        <v>245</v>
      </c>
      <c r="E184" s="1" t="s">
        <v>157</v>
      </c>
      <c r="F184" s="2" t="s">
        <v>24</v>
      </c>
      <c r="G184" s="2">
        <v>10</v>
      </c>
      <c r="H184" s="2">
        <v>2</v>
      </c>
      <c r="I184" s="2">
        <v>1</v>
      </c>
      <c r="J184" s="2">
        <v>1</v>
      </c>
      <c r="K184" s="2">
        <v>0</v>
      </c>
      <c r="L184" s="2">
        <v>25</v>
      </c>
      <c r="M184" s="2">
        <v>190</v>
      </c>
      <c r="N184" s="2">
        <v>85</v>
      </c>
      <c r="O184" s="35" t="s">
        <v>20</v>
      </c>
    </row>
    <row r="185" spans="1:15" x14ac:dyDescent="0.25">
      <c r="A185" s="34" t="s">
        <v>289</v>
      </c>
      <c r="B185" s="4">
        <v>32</v>
      </c>
      <c r="C185" s="3" t="s">
        <v>244</v>
      </c>
      <c r="D185" s="4" t="s">
        <v>245</v>
      </c>
      <c r="E185" s="3" t="s">
        <v>157</v>
      </c>
      <c r="F185" s="4" t="s">
        <v>50</v>
      </c>
      <c r="G185" s="4">
        <v>31</v>
      </c>
      <c r="H185" s="4">
        <v>9</v>
      </c>
      <c r="I185" s="4">
        <v>4</v>
      </c>
      <c r="J185" s="4">
        <v>2</v>
      </c>
      <c r="K185" s="4">
        <v>0</v>
      </c>
      <c r="L185" s="4">
        <v>8</v>
      </c>
      <c r="M185" s="4">
        <v>178</v>
      </c>
      <c r="N185" s="4">
        <v>72</v>
      </c>
      <c r="O185" s="36" t="s">
        <v>20</v>
      </c>
    </row>
    <row r="186" spans="1:15" x14ac:dyDescent="0.25">
      <c r="A186" s="33" t="s">
        <v>290</v>
      </c>
      <c r="B186" s="2">
        <v>29</v>
      </c>
      <c r="C186" s="1" t="s">
        <v>244</v>
      </c>
      <c r="D186" s="2" t="s">
        <v>245</v>
      </c>
      <c r="E186" s="1" t="s">
        <v>157</v>
      </c>
      <c r="F186" s="2" t="s">
        <v>74</v>
      </c>
      <c r="G186" s="2">
        <v>34</v>
      </c>
      <c r="H186" s="2">
        <v>4</v>
      </c>
      <c r="I186" s="2">
        <v>4</v>
      </c>
      <c r="J186" s="2">
        <v>8</v>
      </c>
      <c r="K186" s="2">
        <v>0</v>
      </c>
      <c r="L186" s="2">
        <v>20</v>
      </c>
      <c r="M186" s="2">
        <v>187</v>
      </c>
      <c r="N186" s="2">
        <v>78</v>
      </c>
      <c r="O186" s="35" t="s">
        <v>20</v>
      </c>
    </row>
    <row r="187" spans="1:15" x14ac:dyDescent="0.25">
      <c r="A187" s="34" t="s">
        <v>291</v>
      </c>
      <c r="B187" s="4">
        <v>25</v>
      </c>
      <c r="C187" s="3" t="s">
        <v>71</v>
      </c>
      <c r="D187" s="4" t="s">
        <v>245</v>
      </c>
      <c r="E187" s="3" t="s">
        <v>157</v>
      </c>
      <c r="F187" s="4" t="s">
        <v>67</v>
      </c>
      <c r="G187" s="4">
        <v>32</v>
      </c>
      <c r="H187" s="4">
        <v>0</v>
      </c>
      <c r="I187" s="4">
        <v>0</v>
      </c>
      <c r="J187" s="4">
        <v>2</v>
      </c>
      <c r="K187" s="4">
        <v>0</v>
      </c>
      <c r="L187" s="4">
        <v>12</v>
      </c>
      <c r="M187" s="4">
        <v>192</v>
      </c>
      <c r="N187" s="4">
        <v>84</v>
      </c>
      <c r="O187" s="36" t="s">
        <v>20</v>
      </c>
    </row>
    <row r="188" spans="1:15" x14ac:dyDescent="0.25">
      <c r="A188" s="33" t="s">
        <v>256</v>
      </c>
      <c r="B188" s="2">
        <v>26</v>
      </c>
      <c r="C188" s="1" t="s">
        <v>190</v>
      </c>
      <c r="D188" s="2" t="s">
        <v>245</v>
      </c>
      <c r="E188" s="1" t="s">
        <v>292</v>
      </c>
      <c r="F188" s="2" t="s">
        <v>24</v>
      </c>
      <c r="G188" s="2">
        <v>23</v>
      </c>
      <c r="H188" s="2">
        <v>17</v>
      </c>
      <c r="I188" s="2">
        <v>5</v>
      </c>
      <c r="J188" s="2">
        <v>3</v>
      </c>
      <c r="K188" s="2">
        <v>0</v>
      </c>
      <c r="L188" s="2">
        <v>75</v>
      </c>
      <c r="M188" s="2">
        <v>185</v>
      </c>
      <c r="N188" s="2">
        <v>78</v>
      </c>
      <c r="O188" s="35" t="s">
        <v>20</v>
      </c>
    </row>
    <row r="189" spans="1:15" x14ac:dyDescent="0.25">
      <c r="A189" s="34" t="s">
        <v>293</v>
      </c>
      <c r="B189" s="4">
        <v>31</v>
      </c>
      <c r="C189" s="3" t="s">
        <v>244</v>
      </c>
      <c r="D189" s="4" t="s">
        <v>245</v>
      </c>
      <c r="E189" s="3" t="s">
        <v>255</v>
      </c>
      <c r="F189" s="4" t="s">
        <v>64</v>
      </c>
      <c r="G189" s="4">
        <v>32</v>
      </c>
      <c r="H189" s="4">
        <v>3</v>
      </c>
      <c r="I189" s="4">
        <v>6</v>
      </c>
      <c r="J189" s="4">
        <v>5</v>
      </c>
      <c r="K189" s="4">
        <v>0</v>
      </c>
      <c r="L189" s="4">
        <v>25</v>
      </c>
      <c r="M189" s="4">
        <v>183</v>
      </c>
      <c r="N189" s="4">
        <v>78</v>
      </c>
      <c r="O189" s="36" t="s">
        <v>20</v>
      </c>
    </row>
    <row r="190" spans="1:15" x14ac:dyDescent="0.25">
      <c r="A190" s="33" t="s">
        <v>294</v>
      </c>
      <c r="B190" s="2">
        <v>30</v>
      </c>
      <c r="C190" s="1" t="s">
        <v>116</v>
      </c>
      <c r="D190" s="2" t="s">
        <v>245</v>
      </c>
      <c r="E190" s="1" t="s">
        <v>248</v>
      </c>
      <c r="F190" s="2" t="s">
        <v>74</v>
      </c>
      <c r="G190" s="2">
        <v>22</v>
      </c>
      <c r="H190" s="2">
        <v>3</v>
      </c>
      <c r="I190" s="2">
        <v>5</v>
      </c>
      <c r="J190" s="2">
        <v>3</v>
      </c>
      <c r="K190" s="2">
        <v>0</v>
      </c>
      <c r="L190" s="2">
        <v>20</v>
      </c>
      <c r="M190" s="2">
        <v>178</v>
      </c>
      <c r="N190" s="2">
        <v>74</v>
      </c>
      <c r="O190" s="35" t="s">
        <v>20</v>
      </c>
    </row>
    <row r="191" spans="1:15" x14ac:dyDescent="0.25">
      <c r="A191" s="34" t="s">
        <v>295</v>
      </c>
      <c r="B191" s="4">
        <v>28</v>
      </c>
      <c r="C191" s="3" t="s">
        <v>89</v>
      </c>
      <c r="D191" s="4" t="s">
        <v>245</v>
      </c>
      <c r="E191" s="3" t="s">
        <v>255</v>
      </c>
      <c r="F191" s="4" t="s">
        <v>74</v>
      </c>
      <c r="G191" s="4">
        <v>34</v>
      </c>
      <c r="H191" s="4">
        <v>10</v>
      </c>
      <c r="I191" s="4">
        <v>6</v>
      </c>
      <c r="J191" s="4">
        <v>7</v>
      </c>
      <c r="K191" s="4">
        <v>0</v>
      </c>
      <c r="L191" s="4">
        <v>35</v>
      </c>
      <c r="M191" s="4">
        <v>189</v>
      </c>
      <c r="N191" s="4">
        <v>83</v>
      </c>
      <c r="O191" s="36" t="s">
        <v>20</v>
      </c>
    </row>
    <row r="192" spans="1:15" x14ac:dyDescent="0.25">
      <c r="A192" s="33" t="s">
        <v>296</v>
      </c>
      <c r="B192" s="2">
        <v>27</v>
      </c>
      <c r="C192" s="1" t="s">
        <v>244</v>
      </c>
      <c r="D192" s="2" t="s">
        <v>245</v>
      </c>
      <c r="E192" s="1" t="s">
        <v>255</v>
      </c>
      <c r="F192" s="2" t="s">
        <v>67</v>
      </c>
      <c r="G192" s="2">
        <v>36</v>
      </c>
      <c r="H192" s="2">
        <v>0</v>
      </c>
      <c r="I192" s="2">
        <v>0</v>
      </c>
      <c r="J192" s="2">
        <v>2</v>
      </c>
      <c r="K192" s="2">
        <v>0</v>
      </c>
      <c r="L192" s="2">
        <v>18</v>
      </c>
      <c r="M192" s="2">
        <v>190</v>
      </c>
      <c r="N192" s="2">
        <v>82</v>
      </c>
      <c r="O192" s="35" t="s">
        <v>20</v>
      </c>
    </row>
    <row r="193" spans="1:15" x14ac:dyDescent="0.25">
      <c r="A193" s="34" t="s">
        <v>254</v>
      </c>
      <c r="B193" s="4">
        <v>24</v>
      </c>
      <c r="C193" s="3" t="s">
        <v>169</v>
      </c>
      <c r="D193" s="4" t="s">
        <v>245</v>
      </c>
      <c r="E193" s="3" t="s">
        <v>297</v>
      </c>
      <c r="F193" s="4" t="s">
        <v>50</v>
      </c>
      <c r="G193" s="4">
        <v>20</v>
      </c>
      <c r="H193" s="4">
        <v>6</v>
      </c>
      <c r="I193" s="4">
        <v>7</v>
      </c>
      <c r="J193" s="4">
        <v>2</v>
      </c>
      <c r="K193" s="4">
        <v>0</v>
      </c>
      <c r="L193" s="4">
        <v>90</v>
      </c>
      <c r="M193" s="4">
        <v>183</v>
      </c>
      <c r="N193" s="4">
        <v>75</v>
      </c>
      <c r="O193" s="36" t="s">
        <v>20</v>
      </c>
    </row>
    <row r="194" spans="1:15" x14ac:dyDescent="0.25">
      <c r="A194" s="33" t="s">
        <v>298</v>
      </c>
      <c r="B194" s="2">
        <v>31</v>
      </c>
      <c r="C194" s="1" t="s">
        <v>71</v>
      </c>
      <c r="D194" s="2" t="s">
        <v>245</v>
      </c>
      <c r="E194" s="1" t="s">
        <v>255</v>
      </c>
      <c r="F194" s="2" t="s">
        <v>24</v>
      </c>
      <c r="G194" s="2">
        <v>32</v>
      </c>
      <c r="H194" s="2">
        <v>13</v>
      </c>
      <c r="I194" s="2">
        <v>4</v>
      </c>
      <c r="J194" s="2">
        <v>3</v>
      </c>
      <c r="K194" s="2">
        <v>0</v>
      </c>
      <c r="L194" s="2">
        <v>20</v>
      </c>
      <c r="M194" s="2">
        <v>190</v>
      </c>
      <c r="N194" s="2">
        <v>94</v>
      </c>
      <c r="O194" s="35" t="s">
        <v>20</v>
      </c>
    </row>
    <row r="195" spans="1:15" x14ac:dyDescent="0.25">
      <c r="A195" s="34" t="s">
        <v>299</v>
      </c>
      <c r="B195" s="4">
        <v>28</v>
      </c>
      <c r="C195" s="3" t="s">
        <v>32</v>
      </c>
      <c r="D195" s="4" t="s">
        <v>245</v>
      </c>
      <c r="E195" s="3" t="s">
        <v>255</v>
      </c>
      <c r="F195" s="4" t="s">
        <v>62</v>
      </c>
      <c r="G195" s="4">
        <v>34</v>
      </c>
      <c r="H195" s="4">
        <v>5</v>
      </c>
      <c r="I195" s="4">
        <v>5</v>
      </c>
      <c r="J195" s="4">
        <v>8</v>
      </c>
      <c r="K195" s="4">
        <v>0</v>
      </c>
      <c r="L195" s="4">
        <v>30</v>
      </c>
      <c r="M195" s="4">
        <v>185</v>
      </c>
      <c r="N195" s="4">
        <v>80</v>
      </c>
      <c r="O195" s="36" t="s">
        <v>20</v>
      </c>
    </row>
    <row r="196" spans="1:15" x14ac:dyDescent="0.25">
      <c r="A196" s="33" t="s">
        <v>300</v>
      </c>
      <c r="B196" s="2">
        <v>30</v>
      </c>
      <c r="C196" s="1" t="s">
        <v>301</v>
      </c>
      <c r="D196" s="2" t="s">
        <v>245</v>
      </c>
      <c r="E196" s="1" t="s">
        <v>255</v>
      </c>
      <c r="F196" s="2" t="s">
        <v>62</v>
      </c>
      <c r="G196" s="2">
        <v>32</v>
      </c>
      <c r="H196" s="2">
        <v>1</v>
      </c>
      <c r="I196" s="2">
        <v>5</v>
      </c>
      <c r="J196" s="2">
        <v>6</v>
      </c>
      <c r="K196" s="2">
        <v>0</v>
      </c>
      <c r="L196" s="2">
        <v>40</v>
      </c>
      <c r="M196" s="2">
        <v>170</v>
      </c>
      <c r="N196" s="2">
        <v>68</v>
      </c>
      <c r="O196" s="35" t="s">
        <v>20</v>
      </c>
    </row>
    <row r="197" spans="1:15" x14ac:dyDescent="0.25">
      <c r="A197" s="34" t="s">
        <v>302</v>
      </c>
      <c r="B197" s="4">
        <v>24</v>
      </c>
      <c r="C197" s="3" t="s">
        <v>104</v>
      </c>
      <c r="D197" s="4" t="s">
        <v>245</v>
      </c>
      <c r="E197" s="3" t="s">
        <v>255</v>
      </c>
      <c r="F197" s="4" t="s">
        <v>19</v>
      </c>
      <c r="G197" s="4">
        <v>24</v>
      </c>
      <c r="H197" s="4">
        <v>3</v>
      </c>
      <c r="I197" s="4">
        <v>4</v>
      </c>
      <c r="J197" s="4">
        <v>2</v>
      </c>
      <c r="K197" s="4">
        <v>0</v>
      </c>
      <c r="L197" s="4">
        <v>20</v>
      </c>
      <c r="M197" s="4">
        <v>181</v>
      </c>
      <c r="N197" s="4">
        <v>74</v>
      </c>
      <c r="O197" s="36" t="s">
        <v>20</v>
      </c>
    </row>
    <row r="198" spans="1:15" x14ac:dyDescent="0.25">
      <c r="A198" s="33" t="s">
        <v>303</v>
      </c>
      <c r="B198" s="2">
        <v>30</v>
      </c>
      <c r="C198" s="1" t="s">
        <v>304</v>
      </c>
      <c r="D198" s="2" t="s">
        <v>245</v>
      </c>
      <c r="E198" s="1" t="s">
        <v>255</v>
      </c>
      <c r="F198" s="2" t="s">
        <v>60</v>
      </c>
      <c r="G198" s="2">
        <v>30</v>
      </c>
      <c r="H198" s="2">
        <v>3</v>
      </c>
      <c r="I198" s="2">
        <v>1</v>
      </c>
      <c r="J198" s="2">
        <v>4</v>
      </c>
      <c r="K198" s="2">
        <v>0</v>
      </c>
      <c r="L198" s="2">
        <v>20</v>
      </c>
      <c r="M198" s="2">
        <v>189</v>
      </c>
      <c r="N198" s="2">
        <v>82</v>
      </c>
      <c r="O198" s="35" t="s">
        <v>20</v>
      </c>
    </row>
    <row r="199" spans="1:15" x14ac:dyDescent="0.25">
      <c r="A199" s="40" t="s">
        <v>305</v>
      </c>
      <c r="B199" s="41">
        <v>27</v>
      </c>
      <c r="C199" s="42" t="s">
        <v>137</v>
      </c>
      <c r="D199" s="41" t="s">
        <v>245</v>
      </c>
      <c r="E199" s="42" t="s">
        <v>255</v>
      </c>
      <c r="F199" s="41" t="s">
        <v>90</v>
      </c>
      <c r="G199" s="41">
        <v>28</v>
      </c>
      <c r="H199" s="41">
        <v>1</v>
      </c>
      <c r="I199" s="41">
        <v>3</v>
      </c>
      <c r="J199" s="41">
        <v>4</v>
      </c>
      <c r="K199" s="41">
        <v>0</v>
      </c>
      <c r="L199" s="41">
        <v>18</v>
      </c>
      <c r="M199" s="41">
        <v>181</v>
      </c>
      <c r="N199" s="41">
        <v>75</v>
      </c>
      <c r="O199" s="43" t="s">
        <v>20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
  <sheetViews>
    <sheetView workbookViewId="0">
      <pane ySplit="1" topLeftCell="A2" activePane="bottomLeft" state="frozen"/>
      <selection pane="bottomLeft"/>
    </sheetView>
  </sheetViews>
  <sheetFormatPr defaultRowHeight="15" x14ac:dyDescent="0.25"/>
  <cols>
    <col min="1" max="1" width="24" customWidth="1"/>
    <col min="2" max="2" width="7" customWidth="1"/>
    <col min="3" max="3" width="16" customWidth="1"/>
    <col min="4" max="4" width="18" customWidth="1"/>
    <col min="5" max="5" width="24" customWidth="1"/>
    <col min="6" max="6" width="10" customWidth="1"/>
    <col min="7" max="7" width="13" customWidth="1"/>
    <col min="8" max="8" width="8" customWidth="1"/>
    <col min="9" max="9" width="9" customWidth="1"/>
    <col min="10" max="10" width="13" customWidth="1"/>
    <col min="11" max="11" width="10" customWidth="1"/>
    <col min="12" max="12" width="18" customWidth="1"/>
    <col min="13" max="14" width="11" customWidth="1"/>
    <col min="15" max="15" width="10" customWidth="1"/>
  </cols>
  <sheetData>
    <row r="1" spans="1:15" ht="21.95" customHeigh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x14ac:dyDescent="0.25">
      <c r="A2" s="6" t="s">
        <v>15</v>
      </c>
      <c r="B2" s="7">
        <v>32</v>
      </c>
      <c r="C2" s="6" t="s">
        <v>16</v>
      </c>
      <c r="D2" s="7" t="s">
        <v>17</v>
      </c>
      <c r="E2" s="6" t="s">
        <v>18</v>
      </c>
      <c r="F2" s="7" t="s">
        <v>19</v>
      </c>
      <c r="G2" s="7">
        <v>38</v>
      </c>
      <c r="H2" s="7">
        <v>29</v>
      </c>
      <c r="I2" s="7">
        <v>18</v>
      </c>
      <c r="J2" s="7">
        <v>2</v>
      </c>
      <c r="K2" s="7">
        <v>0</v>
      </c>
      <c r="L2" s="7">
        <v>75</v>
      </c>
      <c r="M2" s="7">
        <v>175</v>
      </c>
      <c r="N2" s="7">
        <v>71</v>
      </c>
      <c r="O2" s="7" t="s">
        <v>20</v>
      </c>
    </row>
    <row r="3" spans="1:15" x14ac:dyDescent="0.25">
      <c r="A3" s="3" t="s">
        <v>21</v>
      </c>
      <c r="B3" s="4">
        <v>25</v>
      </c>
      <c r="C3" s="3" t="s">
        <v>22</v>
      </c>
      <c r="D3" s="4" t="s">
        <v>17</v>
      </c>
      <c r="E3" s="3" t="s">
        <v>23</v>
      </c>
      <c r="F3" s="4" t="s">
        <v>24</v>
      </c>
      <c r="G3" s="4">
        <v>35</v>
      </c>
      <c r="H3" s="4">
        <v>23</v>
      </c>
      <c r="I3" s="4">
        <v>5</v>
      </c>
      <c r="J3" s="4">
        <v>3</v>
      </c>
      <c r="K3" s="4">
        <v>0</v>
      </c>
      <c r="L3" s="4">
        <v>90</v>
      </c>
      <c r="M3" s="4">
        <v>190</v>
      </c>
      <c r="N3" s="4">
        <v>79</v>
      </c>
      <c r="O3" s="4" t="s">
        <v>20</v>
      </c>
    </row>
    <row r="4" spans="1:15" x14ac:dyDescent="0.25">
      <c r="A4" s="6" t="s">
        <v>25</v>
      </c>
      <c r="B4" s="7">
        <v>24</v>
      </c>
      <c r="C4" s="6" t="s">
        <v>26</v>
      </c>
      <c r="D4" s="7" t="s">
        <v>17</v>
      </c>
      <c r="E4" s="6" t="s">
        <v>27</v>
      </c>
      <c r="F4" s="7" t="s">
        <v>24</v>
      </c>
      <c r="G4" s="7">
        <v>31</v>
      </c>
      <c r="H4" s="7">
        <v>22</v>
      </c>
      <c r="I4" s="7">
        <v>5</v>
      </c>
      <c r="J4" s="7">
        <v>2</v>
      </c>
      <c r="K4" s="7">
        <v>0</v>
      </c>
      <c r="L4" s="7">
        <v>180</v>
      </c>
      <c r="M4" s="7">
        <v>194</v>
      </c>
      <c r="N4" s="7">
        <v>88</v>
      </c>
      <c r="O4" s="7" t="s">
        <v>20</v>
      </c>
    </row>
    <row r="5" spans="1:15" x14ac:dyDescent="0.25">
      <c r="A5" s="3" t="s">
        <v>28</v>
      </c>
      <c r="B5" s="4">
        <v>33</v>
      </c>
      <c r="C5" s="3" t="s">
        <v>29</v>
      </c>
      <c r="D5" s="4" t="s">
        <v>17</v>
      </c>
      <c r="E5" s="3" t="s">
        <v>30</v>
      </c>
      <c r="F5" s="4" t="s">
        <v>24</v>
      </c>
      <c r="G5" s="4">
        <v>36</v>
      </c>
      <c r="H5" s="4">
        <v>20</v>
      </c>
      <c r="I5" s="4">
        <v>3</v>
      </c>
      <c r="J5" s="4">
        <v>4</v>
      </c>
      <c r="K5" s="4">
        <v>0</v>
      </c>
      <c r="L5" s="4">
        <v>12</v>
      </c>
      <c r="M5" s="4">
        <v>190</v>
      </c>
      <c r="N5" s="4">
        <v>82</v>
      </c>
      <c r="O5" s="4" t="s">
        <v>20</v>
      </c>
    </row>
    <row r="6" spans="1:15" x14ac:dyDescent="0.25">
      <c r="A6" s="6" t="s">
        <v>31</v>
      </c>
      <c r="B6" s="7">
        <v>25</v>
      </c>
      <c r="C6" s="6" t="s">
        <v>32</v>
      </c>
      <c r="D6" s="7" t="s">
        <v>17</v>
      </c>
      <c r="E6" s="6" t="s">
        <v>33</v>
      </c>
      <c r="F6" s="7" t="s">
        <v>19</v>
      </c>
      <c r="G6" s="7">
        <v>37</v>
      </c>
      <c r="H6" s="7">
        <v>20</v>
      </c>
      <c r="I6" s="7">
        <v>7</v>
      </c>
      <c r="J6" s="7">
        <v>3</v>
      </c>
      <c r="K6" s="7">
        <v>0</v>
      </c>
      <c r="L6" s="7">
        <v>55</v>
      </c>
      <c r="M6" s="7">
        <v>170</v>
      </c>
      <c r="N6" s="7">
        <v>67</v>
      </c>
      <c r="O6" s="7" t="s">
        <v>20</v>
      </c>
    </row>
    <row r="7" spans="1:15" x14ac:dyDescent="0.25">
      <c r="A7" s="3" t="s">
        <v>34</v>
      </c>
      <c r="B7" s="4">
        <v>28</v>
      </c>
      <c r="C7" s="3" t="s">
        <v>35</v>
      </c>
      <c r="D7" s="4" t="s">
        <v>17</v>
      </c>
      <c r="E7" s="3" t="s">
        <v>33</v>
      </c>
      <c r="F7" s="4" t="s">
        <v>24</v>
      </c>
      <c r="G7" s="4">
        <v>35</v>
      </c>
      <c r="H7" s="4">
        <v>19</v>
      </c>
      <c r="I7" s="4">
        <v>6</v>
      </c>
      <c r="J7" s="4">
        <v>2</v>
      </c>
      <c r="K7" s="4">
        <v>0</v>
      </c>
      <c r="L7" s="4">
        <v>35</v>
      </c>
      <c r="M7" s="4">
        <v>176</v>
      </c>
      <c r="N7" s="4">
        <v>75</v>
      </c>
      <c r="O7" s="4" t="s">
        <v>20</v>
      </c>
    </row>
    <row r="8" spans="1:15" x14ac:dyDescent="0.25">
      <c r="A8" s="6" t="s">
        <v>36</v>
      </c>
      <c r="B8" s="7">
        <v>29</v>
      </c>
      <c r="C8" s="6" t="s">
        <v>37</v>
      </c>
      <c r="D8" s="7" t="s">
        <v>17</v>
      </c>
      <c r="E8" s="6" t="s">
        <v>38</v>
      </c>
      <c r="F8" s="7" t="s">
        <v>24</v>
      </c>
      <c r="G8" s="7">
        <v>36</v>
      </c>
      <c r="H8" s="7">
        <v>16</v>
      </c>
      <c r="I8" s="7">
        <v>8</v>
      </c>
      <c r="J8" s="7">
        <v>3</v>
      </c>
      <c r="K8" s="7">
        <v>0</v>
      </c>
      <c r="L8" s="7">
        <v>75</v>
      </c>
      <c r="M8" s="7">
        <v>180</v>
      </c>
      <c r="N8" s="7">
        <v>77</v>
      </c>
      <c r="O8" s="7" t="s">
        <v>20</v>
      </c>
    </row>
    <row r="9" spans="1:15" x14ac:dyDescent="0.25">
      <c r="A9" s="3" t="s">
        <v>39</v>
      </c>
      <c r="B9" s="4">
        <v>25</v>
      </c>
      <c r="C9" s="3" t="s">
        <v>40</v>
      </c>
      <c r="D9" s="4" t="s">
        <v>17</v>
      </c>
      <c r="E9" s="3" t="s">
        <v>41</v>
      </c>
      <c r="F9" s="4" t="s">
        <v>42</v>
      </c>
      <c r="G9" s="4">
        <v>34</v>
      </c>
      <c r="H9" s="4">
        <v>15</v>
      </c>
      <c r="I9" s="4">
        <v>9</v>
      </c>
      <c r="J9" s="4">
        <v>7</v>
      </c>
      <c r="K9" s="4">
        <v>0</v>
      </c>
      <c r="L9" s="4">
        <v>55</v>
      </c>
      <c r="M9" s="4">
        <v>180</v>
      </c>
      <c r="N9" s="4">
        <v>77</v>
      </c>
      <c r="O9" s="4" t="s">
        <v>20</v>
      </c>
    </row>
    <row r="10" spans="1:15" x14ac:dyDescent="0.25">
      <c r="A10" s="6" t="s">
        <v>43</v>
      </c>
      <c r="B10" s="7">
        <v>22</v>
      </c>
      <c r="C10" s="6" t="s">
        <v>37</v>
      </c>
      <c r="D10" s="7" t="s">
        <v>17</v>
      </c>
      <c r="E10" s="6" t="s">
        <v>44</v>
      </c>
      <c r="F10" s="7" t="s">
        <v>45</v>
      </c>
      <c r="G10" s="7">
        <v>34</v>
      </c>
      <c r="H10" s="7">
        <v>15</v>
      </c>
      <c r="I10" s="7">
        <v>12</v>
      </c>
      <c r="J10" s="7">
        <v>3</v>
      </c>
      <c r="K10" s="7">
        <v>0</v>
      </c>
      <c r="L10" s="7">
        <v>120</v>
      </c>
      <c r="M10" s="7">
        <v>185</v>
      </c>
      <c r="N10" s="7">
        <v>74</v>
      </c>
      <c r="O10" s="7" t="s">
        <v>20</v>
      </c>
    </row>
    <row r="11" spans="1:15" x14ac:dyDescent="0.25">
      <c r="A11" s="3" t="s">
        <v>46</v>
      </c>
      <c r="B11" s="4">
        <v>23</v>
      </c>
      <c r="C11" s="3" t="s">
        <v>37</v>
      </c>
      <c r="D11" s="4" t="s">
        <v>17</v>
      </c>
      <c r="E11" s="3" t="s">
        <v>47</v>
      </c>
      <c r="F11" s="4" t="s">
        <v>19</v>
      </c>
      <c r="G11" s="4">
        <v>31</v>
      </c>
      <c r="H11" s="4">
        <v>13</v>
      </c>
      <c r="I11" s="4">
        <v>10</v>
      </c>
      <c r="J11" s="4">
        <v>2</v>
      </c>
      <c r="K11" s="4">
        <v>0</v>
      </c>
      <c r="L11" s="4">
        <v>150</v>
      </c>
      <c r="M11" s="4">
        <v>178</v>
      </c>
      <c r="N11" s="4">
        <v>72</v>
      </c>
      <c r="O11" s="4" t="s">
        <v>20</v>
      </c>
    </row>
    <row r="12" spans="1:15" x14ac:dyDescent="0.25">
      <c r="A12" s="6" t="s">
        <v>48</v>
      </c>
      <c r="B12" s="7">
        <v>27</v>
      </c>
      <c r="C12" s="6" t="s">
        <v>37</v>
      </c>
      <c r="D12" s="7" t="s">
        <v>17</v>
      </c>
      <c r="E12" s="6" t="s">
        <v>49</v>
      </c>
      <c r="F12" s="7" t="s">
        <v>50</v>
      </c>
      <c r="G12" s="7">
        <v>20</v>
      </c>
      <c r="H12" s="7">
        <v>7</v>
      </c>
      <c r="I12" s="7">
        <v>3</v>
      </c>
      <c r="J12" s="7">
        <v>2</v>
      </c>
      <c r="K12" s="7">
        <v>0</v>
      </c>
      <c r="L12" s="7">
        <v>50</v>
      </c>
      <c r="M12" s="7">
        <v>180</v>
      </c>
      <c r="N12" s="7">
        <v>70</v>
      </c>
      <c r="O12" s="7" t="s">
        <v>20</v>
      </c>
    </row>
    <row r="13" spans="1:15" x14ac:dyDescent="0.25">
      <c r="A13" s="3" t="s">
        <v>51</v>
      </c>
      <c r="B13" s="4">
        <v>30</v>
      </c>
      <c r="C13" s="3" t="s">
        <v>52</v>
      </c>
      <c r="D13" s="4" t="s">
        <v>17</v>
      </c>
      <c r="E13" s="3" t="s">
        <v>49</v>
      </c>
      <c r="F13" s="4" t="s">
        <v>45</v>
      </c>
      <c r="G13" s="4">
        <v>35</v>
      </c>
      <c r="H13" s="4">
        <v>11</v>
      </c>
      <c r="I13" s="4">
        <v>10</v>
      </c>
      <c r="J13" s="4">
        <v>9</v>
      </c>
      <c r="K13" s="4">
        <v>1</v>
      </c>
      <c r="L13" s="4">
        <v>55</v>
      </c>
      <c r="M13" s="4">
        <v>179</v>
      </c>
      <c r="N13" s="4">
        <v>69</v>
      </c>
      <c r="O13" s="4" t="s">
        <v>20</v>
      </c>
    </row>
    <row r="14" spans="1:15" x14ac:dyDescent="0.25">
      <c r="A14" s="6" t="s">
        <v>53</v>
      </c>
      <c r="B14" s="7">
        <v>32</v>
      </c>
      <c r="C14" s="6" t="s">
        <v>54</v>
      </c>
      <c r="D14" s="7" t="s">
        <v>17</v>
      </c>
      <c r="E14" s="6" t="s">
        <v>55</v>
      </c>
      <c r="F14" s="7" t="s">
        <v>50</v>
      </c>
      <c r="G14" s="7">
        <v>36</v>
      </c>
      <c r="H14" s="7">
        <v>9</v>
      </c>
      <c r="I14" s="7">
        <v>9</v>
      </c>
      <c r="J14" s="7">
        <v>3</v>
      </c>
      <c r="K14" s="7">
        <v>0</v>
      </c>
      <c r="L14" s="7">
        <v>30</v>
      </c>
      <c r="M14" s="7">
        <v>183</v>
      </c>
      <c r="N14" s="7">
        <v>78</v>
      </c>
      <c r="O14" s="7" t="s">
        <v>20</v>
      </c>
    </row>
    <row r="15" spans="1:15" x14ac:dyDescent="0.25">
      <c r="A15" s="3" t="s">
        <v>56</v>
      </c>
      <c r="B15" s="4">
        <v>24</v>
      </c>
      <c r="C15" s="3" t="s">
        <v>37</v>
      </c>
      <c r="D15" s="4" t="s">
        <v>17</v>
      </c>
      <c r="E15" s="3" t="s">
        <v>27</v>
      </c>
      <c r="F15" s="4" t="s">
        <v>45</v>
      </c>
      <c r="G15" s="4">
        <v>28</v>
      </c>
      <c r="H15" s="4">
        <v>8</v>
      </c>
      <c r="I15" s="4">
        <v>10</v>
      </c>
      <c r="J15" s="4">
        <v>3</v>
      </c>
      <c r="K15" s="4">
        <v>0</v>
      </c>
      <c r="L15" s="4">
        <v>130</v>
      </c>
      <c r="M15" s="4">
        <v>171</v>
      </c>
      <c r="N15" s="4">
        <v>69</v>
      </c>
      <c r="O15" s="4" t="s">
        <v>20</v>
      </c>
    </row>
    <row r="16" spans="1:15" x14ac:dyDescent="0.25">
      <c r="A16" s="6" t="s">
        <v>57</v>
      </c>
      <c r="B16" s="7">
        <v>26</v>
      </c>
      <c r="C16" s="6" t="s">
        <v>26</v>
      </c>
      <c r="D16" s="7" t="s">
        <v>17</v>
      </c>
      <c r="E16" s="6" t="s">
        <v>47</v>
      </c>
      <c r="F16" s="7" t="s">
        <v>45</v>
      </c>
      <c r="G16" s="7">
        <v>23</v>
      </c>
      <c r="H16" s="7">
        <v>5</v>
      </c>
      <c r="I16" s="7">
        <v>8</v>
      </c>
      <c r="J16" s="7">
        <v>3</v>
      </c>
      <c r="K16" s="7">
        <v>0</v>
      </c>
      <c r="L16" s="7">
        <v>120</v>
      </c>
      <c r="M16" s="7">
        <v>178</v>
      </c>
      <c r="N16" s="7">
        <v>68</v>
      </c>
      <c r="O16" s="7" t="s">
        <v>20</v>
      </c>
    </row>
    <row r="17" spans="1:15" x14ac:dyDescent="0.25">
      <c r="A17" s="3" t="s">
        <v>58</v>
      </c>
      <c r="B17" s="4">
        <v>33</v>
      </c>
      <c r="C17" s="3" t="s">
        <v>59</v>
      </c>
      <c r="D17" s="4" t="s">
        <v>17</v>
      </c>
      <c r="E17" s="3" t="s">
        <v>18</v>
      </c>
      <c r="F17" s="4" t="s">
        <v>60</v>
      </c>
      <c r="G17" s="4">
        <v>37</v>
      </c>
      <c r="H17" s="4">
        <v>5</v>
      </c>
      <c r="I17" s="4">
        <v>2</v>
      </c>
      <c r="J17" s="4">
        <v>4</v>
      </c>
      <c r="K17" s="4">
        <v>0</v>
      </c>
      <c r="L17" s="4">
        <v>35</v>
      </c>
      <c r="M17" s="4">
        <v>193</v>
      </c>
      <c r="N17" s="4">
        <v>92</v>
      </c>
      <c r="O17" s="4" t="s">
        <v>20</v>
      </c>
    </row>
    <row r="18" spans="1:15" x14ac:dyDescent="0.25">
      <c r="A18" s="6" t="s">
        <v>61</v>
      </c>
      <c r="B18" s="7">
        <v>26</v>
      </c>
      <c r="C18" s="6" t="s">
        <v>37</v>
      </c>
      <c r="D18" s="7" t="s">
        <v>17</v>
      </c>
      <c r="E18" s="6" t="s">
        <v>47</v>
      </c>
      <c r="F18" s="7" t="s">
        <v>62</v>
      </c>
      <c r="G18" s="7">
        <v>35</v>
      </c>
      <c r="H18" s="7">
        <v>7</v>
      </c>
      <c r="I18" s="7">
        <v>8</v>
      </c>
      <c r="J18" s="7">
        <v>8</v>
      </c>
      <c r="K18" s="7">
        <v>1</v>
      </c>
      <c r="L18" s="7">
        <v>100</v>
      </c>
      <c r="M18" s="7">
        <v>185</v>
      </c>
      <c r="N18" s="7">
        <v>80</v>
      </c>
      <c r="O18" s="7" t="s">
        <v>20</v>
      </c>
    </row>
    <row r="19" spans="1:15" x14ac:dyDescent="0.25">
      <c r="A19" s="3" t="s">
        <v>63</v>
      </c>
      <c r="B19" s="4">
        <v>26</v>
      </c>
      <c r="C19" s="3" t="s">
        <v>37</v>
      </c>
      <c r="D19" s="4" t="s">
        <v>17</v>
      </c>
      <c r="E19" s="3" t="s">
        <v>18</v>
      </c>
      <c r="F19" s="4" t="s">
        <v>64</v>
      </c>
      <c r="G19" s="4">
        <v>28</v>
      </c>
      <c r="H19" s="4">
        <v>3</v>
      </c>
      <c r="I19" s="4">
        <v>10</v>
      </c>
      <c r="J19" s="4">
        <v>3</v>
      </c>
      <c r="K19" s="4">
        <v>0</v>
      </c>
      <c r="L19" s="4">
        <v>70</v>
      </c>
      <c r="M19" s="4">
        <v>175</v>
      </c>
      <c r="N19" s="4">
        <v>69</v>
      </c>
      <c r="O19" s="4" t="s">
        <v>20</v>
      </c>
    </row>
    <row r="20" spans="1:15" x14ac:dyDescent="0.25">
      <c r="A20" s="6" t="s">
        <v>65</v>
      </c>
      <c r="B20" s="7">
        <v>29</v>
      </c>
      <c r="C20" s="6" t="s">
        <v>66</v>
      </c>
      <c r="D20" s="7" t="s">
        <v>17</v>
      </c>
      <c r="E20" s="6" t="s">
        <v>47</v>
      </c>
      <c r="F20" s="7" t="s">
        <v>67</v>
      </c>
      <c r="G20" s="7">
        <v>38</v>
      </c>
      <c r="H20" s="7">
        <v>0</v>
      </c>
      <c r="I20" s="7">
        <v>0</v>
      </c>
      <c r="J20" s="7">
        <v>2</v>
      </c>
      <c r="K20" s="7">
        <v>0</v>
      </c>
      <c r="L20" s="7">
        <v>40</v>
      </c>
      <c r="M20" s="7">
        <v>183</v>
      </c>
      <c r="N20" s="7">
        <v>79</v>
      </c>
      <c r="O20" s="7" t="s">
        <v>20</v>
      </c>
    </row>
    <row r="21" spans="1:15" x14ac:dyDescent="0.25">
      <c r="A21" s="3" t="s">
        <v>68</v>
      </c>
      <c r="B21" s="4">
        <v>32</v>
      </c>
      <c r="C21" s="3" t="s">
        <v>40</v>
      </c>
      <c r="D21" s="4" t="s">
        <v>17</v>
      </c>
      <c r="E21" s="3" t="s">
        <v>18</v>
      </c>
      <c r="F21" s="4" t="s">
        <v>67</v>
      </c>
      <c r="G21" s="4">
        <v>26</v>
      </c>
      <c r="H21" s="4">
        <v>0</v>
      </c>
      <c r="I21" s="4">
        <v>0</v>
      </c>
      <c r="J21" s="4">
        <v>1</v>
      </c>
      <c r="K21" s="4">
        <v>0</v>
      </c>
      <c r="L21" s="4">
        <v>35</v>
      </c>
      <c r="M21" s="4">
        <v>191</v>
      </c>
      <c r="N21" s="4">
        <v>91</v>
      </c>
      <c r="O21" s="4" t="s">
        <v>20</v>
      </c>
    </row>
    <row r="22" spans="1:15" x14ac:dyDescent="0.25">
      <c r="A22" s="6" t="s">
        <v>69</v>
      </c>
      <c r="B22" s="7">
        <v>31</v>
      </c>
      <c r="C22" s="6" t="s">
        <v>40</v>
      </c>
      <c r="D22" s="7" t="s">
        <v>17</v>
      </c>
      <c r="E22" s="6" t="s">
        <v>27</v>
      </c>
      <c r="F22" s="7" t="s">
        <v>67</v>
      </c>
      <c r="G22" s="7">
        <v>34</v>
      </c>
      <c r="H22" s="7">
        <v>0</v>
      </c>
      <c r="I22" s="7">
        <v>0</v>
      </c>
      <c r="J22" s="7">
        <v>2</v>
      </c>
      <c r="K22" s="7">
        <v>0</v>
      </c>
      <c r="L22" s="7">
        <v>35</v>
      </c>
      <c r="M22" s="7">
        <v>188</v>
      </c>
      <c r="N22" s="7">
        <v>86</v>
      </c>
      <c r="O22" s="7" t="s">
        <v>20</v>
      </c>
    </row>
    <row r="23" spans="1:15" x14ac:dyDescent="0.25">
      <c r="A23" s="3" t="s">
        <v>70</v>
      </c>
      <c r="B23" s="4">
        <v>32</v>
      </c>
      <c r="C23" s="3" t="s">
        <v>71</v>
      </c>
      <c r="D23" s="4" t="s">
        <v>17</v>
      </c>
      <c r="E23" s="3" t="s">
        <v>30</v>
      </c>
      <c r="F23" s="4" t="s">
        <v>67</v>
      </c>
      <c r="G23" s="4">
        <v>38</v>
      </c>
      <c r="H23" s="4">
        <v>0</v>
      </c>
      <c r="I23" s="4">
        <v>0</v>
      </c>
      <c r="J23" s="4">
        <v>1</v>
      </c>
      <c r="K23" s="4">
        <v>0</v>
      </c>
      <c r="L23" s="4">
        <v>10</v>
      </c>
      <c r="M23" s="4">
        <v>189</v>
      </c>
      <c r="N23" s="4">
        <v>86</v>
      </c>
      <c r="O23" s="4" t="s">
        <v>20</v>
      </c>
    </row>
    <row r="24" spans="1:15" x14ac:dyDescent="0.25">
      <c r="A24" s="6" t="s">
        <v>72</v>
      </c>
      <c r="B24" s="7">
        <v>33</v>
      </c>
      <c r="C24" s="6" t="s">
        <v>37</v>
      </c>
      <c r="D24" s="7" t="s">
        <v>17</v>
      </c>
      <c r="E24" s="6" t="s">
        <v>23</v>
      </c>
      <c r="F24" s="7" t="s">
        <v>67</v>
      </c>
      <c r="G24" s="7">
        <v>10</v>
      </c>
      <c r="H24" s="7">
        <v>0</v>
      </c>
      <c r="I24" s="7">
        <v>0</v>
      </c>
      <c r="J24" s="7">
        <v>1</v>
      </c>
      <c r="K24" s="7">
        <v>0</v>
      </c>
      <c r="L24" s="7">
        <v>20</v>
      </c>
      <c r="M24" s="7">
        <v>198</v>
      </c>
      <c r="N24" s="7">
        <v>88</v>
      </c>
      <c r="O24" s="7" t="s">
        <v>20</v>
      </c>
    </row>
    <row r="25" spans="1:15" x14ac:dyDescent="0.25">
      <c r="A25" s="3" t="s">
        <v>73</v>
      </c>
      <c r="B25" s="4">
        <v>27</v>
      </c>
      <c r="C25" s="3" t="s">
        <v>52</v>
      </c>
      <c r="D25" s="4" t="s">
        <v>17</v>
      </c>
      <c r="E25" s="3" t="s">
        <v>47</v>
      </c>
      <c r="F25" s="4" t="s">
        <v>74</v>
      </c>
      <c r="G25" s="4">
        <v>18</v>
      </c>
      <c r="H25" s="4">
        <v>2</v>
      </c>
      <c r="I25" s="4">
        <v>3</v>
      </c>
      <c r="J25" s="4">
        <v>3</v>
      </c>
      <c r="K25" s="4">
        <v>0</v>
      </c>
      <c r="L25" s="4">
        <v>30</v>
      </c>
      <c r="M25" s="4">
        <v>179</v>
      </c>
      <c r="N25" s="4">
        <v>75</v>
      </c>
      <c r="O25" s="4" t="s">
        <v>20</v>
      </c>
    </row>
    <row r="26" spans="1:15" x14ac:dyDescent="0.25">
      <c r="A26" s="6" t="s">
        <v>75</v>
      </c>
      <c r="B26" s="7">
        <v>34</v>
      </c>
      <c r="C26" s="6" t="s">
        <v>37</v>
      </c>
      <c r="D26" s="7" t="s">
        <v>17</v>
      </c>
      <c r="E26" s="6" t="s">
        <v>23</v>
      </c>
      <c r="F26" s="7" t="s">
        <v>64</v>
      </c>
      <c r="G26" s="7">
        <v>22</v>
      </c>
      <c r="H26" s="7">
        <v>1</v>
      </c>
      <c r="I26" s="7">
        <v>3</v>
      </c>
      <c r="J26" s="7">
        <v>3</v>
      </c>
      <c r="K26" s="7">
        <v>0</v>
      </c>
      <c r="L26" s="7">
        <v>15</v>
      </c>
      <c r="M26" s="7">
        <v>173</v>
      </c>
      <c r="N26" s="7">
        <v>73</v>
      </c>
      <c r="O26" s="7" t="s">
        <v>20</v>
      </c>
    </row>
    <row r="27" spans="1:15" x14ac:dyDescent="0.25">
      <c r="A27" s="3" t="s">
        <v>76</v>
      </c>
      <c r="B27" s="4">
        <v>25</v>
      </c>
      <c r="C27" s="3" t="s">
        <v>66</v>
      </c>
      <c r="D27" s="4" t="s">
        <v>17</v>
      </c>
      <c r="E27" s="3" t="s">
        <v>55</v>
      </c>
      <c r="F27" s="4" t="s">
        <v>64</v>
      </c>
      <c r="G27" s="4">
        <v>35</v>
      </c>
      <c r="H27" s="4">
        <v>4</v>
      </c>
      <c r="I27" s="4">
        <v>8</v>
      </c>
      <c r="J27" s="4">
        <v>5</v>
      </c>
      <c r="K27" s="4">
        <v>0</v>
      </c>
      <c r="L27" s="4">
        <v>45</v>
      </c>
      <c r="M27" s="4">
        <v>173</v>
      </c>
      <c r="N27" s="4">
        <v>69</v>
      </c>
      <c r="O27" s="4" t="s">
        <v>20</v>
      </c>
    </row>
    <row r="28" spans="1:15" x14ac:dyDescent="0.25">
      <c r="A28" s="6" t="s">
        <v>77</v>
      </c>
      <c r="B28" s="7">
        <v>27</v>
      </c>
      <c r="C28" s="6" t="s">
        <v>37</v>
      </c>
      <c r="D28" s="7" t="s">
        <v>17</v>
      </c>
      <c r="E28" s="6" t="s">
        <v>55</v>
      </c>
      <c r="F28" s="7" t="s">
        <v>24</v>
      </c>
      <c r="G28" s="7">
        <v>34</v>
      </c>
      <c r="H28" s="7">
        <v>9</v>
      </c>
      <c r="I28" s="7">
        <v>5</v>
      </c>
      <c r="J28" s="7">
        <v>3</v>
      </c>
      <c r="K28" s="7">
        <v>0</v>
      </c>
      <c r="L28" s="7">
        <v>40</v>
      </c>
      <c r="M28" s="7">
        <v>186</v>
      </c>
      <c r="N28" s="7">
        <v>79</v>
      </c>
      <c r="O28" s="7" t="s">
        <v>20</v>
      </c>
    </row>
    <row r="29" spans="1:15" x14ac:dyDescent="0.25">
      <c r="A29" s="3" t="s">
        <v>78</v>
      </c>
      <c r="B29" s="4">
        <v>28</v>
      </c>
      <c r="C29" s="3" t="s">
        <v>37</v>
      </c>
      <c r="D29" s="4" t="s">
        <v>17</v>
      </c>
      <c r="E29" s="3" t="s">
        <v>79</v>
      </c>
      <c r="F29" s="4" t="s">
        <v>19</v>
      </c>
      <c r="G29" s="4">
        <v>36</v>
      </c>
      <c r="H29" s="4">
        <v>12</v>
      </c>
      <c r="I29" s="4">
        <v>7</v>
      </c>
      <c r="J29" s="4">
        <v>4</v>
      </c>
      <c r="K29" s="4">
        <v>0</v>
      </c>
      <c r="L29" s="4">
        <v>45</v>
      </c>
      <c r="M29" s="4">
        <v>175</v>
      </c>
      <c r="N29" s="4">
        <v>72</v>
      </c>
      <c r="O29" s="4" t="s">
        <v>20</v>
      </c>
    </row>
    <row r="30" spans="1:15" x14ac:dyDescent="0.25">
      <c r="A30" s="6" t="s">
        <v>80</v>
      </c>
      <c r="B30" s="7">
        <v>28</v>
      </c>
      <c r="C30" s="6" t="s">
        <v>37</v>
      </c>
      <c r="D30" s="7" t="s">
        <v>17</v>
      </c>
      <c r="E30" s="6" t="s">
        <v>55</v>
      </c>
      <c r="F30" s="7" t="s">
        <v>45</v>
      </c>
      <c r="G30" s="7">
        <v>29</v>
      </c>
      <c r="H30" s="7">
        <v>4</v>
      </c>
      <c r="I30" s="7">
        <v>8</v>
      </c>
      <c r="J30" s="7">
        <v>4</v>
      </c>
      <c r="K30" s="7">
        <v>0</v>
      </c>
      <c r="L30" s="7">
        <v>40</v>
      </c>
      <c r="M30" s="7">
        <v>175</v>
      </c>
      <c r="N30" s="7">
        <v>72</v>
      </c>
      <c r="O30" s="7" t="s">
        <v>20</v>
      </c>
    </row>
    <row r="31" spans="1:15" x14ac:dyDescent="0.25">
      <c r="A31" s="3" t="s">
        <v>81</v>
      </c>
      <c r="B31" s="4">
        <v>26</v>
      </c>
      <c r="C31" s="3" t="s">
        <v>37</v>
      </c>
      <c r="D31" s="4" t="s">
        <v>17</v>
      </c>
      <c r="E31" s="3" t="s">
        <v>23</v>
      </c>
      <c r="F31" s="4" t="s">
        <v>50</v>
      </c>
      <c r="G31" s="4">
        <v>30</v>
      </c>
      <c r="H31" s="4">
        <v>6</v>
      </c>
      <c r="I31" s="4">
        <v>4</v>
      </c>
      <c r="J31" s="4">
        <v>2</v>
      </c>
      <c r="K31" s="4">
        <v>0</v>
      </c>
      <c r="L31" s="4">
        <v>30</v>
      </c>
      <c r="M31" s="4">
        <v>178</v>
      </c>
      <c r="N31" s="4">
        <v>71</v>
      </c>
      <c r="O31" s="4" t="s">
        <v>20</v>
      </c>
    </row>
    <row r="32" spans="1:15" x14ac:dyDescent="0.25">
      <c r="A32" s="6" t="s">
        <v>82</v>
      </c>
      <c r="B32" s="7">
        <v>23</v>
      </c>
      <c r="C32" s="6" t="s">
        <v>40</v>
      </c>
      <c r="D32" s="7" t="s">
        <v>17</v>
      </c>
      <c r="E32" s="6" t="s">
        <v>47</v>
      </c>
      <c r="F32" s="7" t="s">
        <v>50</v>
      </c>
      <c r="G32" s="7">
        <v>30</v>
      </c>
      <c r="H32" s="7">
        <v>6</v>
      </c>
      <c r="I32" s="7">
        <v>7</v>
      </c>
      <c r="J32" s="7">
        <v>3</v>
      </c>
      <c r="K32" s="7">
        <v>0</v>
      </c>
      <c r="L32" s="7">
        <v>70</v>
      </c>
      <c r="M32" s="7">
        <v>175</v>
      </c>
      <c r="N32" s="7">
        <v>75</v>
      </c>
      <c r="O32" s="7" t="s">
        <v>20</v>
      </c>
    </row>
    <row r="33" spans="1:15" x14ac:dyDescent="0.25">
      <c r="A33" s="3" t="s">
        <v>83</v>
      </c>
      <c r="B33" s="4">
        <v>30</v>
      </c>
      <c r="C33" s="3" t="s">
        <v>71</v>
      </c>
      <c r="D33" s="4" t="s">
        <v>17</v>
      </c>
      <c r="E33" s="3" t="s">
        <v>47</v>
      </c>
      <c r="F33" s="4" t="s">
        <v>50</v>
      </c>
      <c r="G33" s="4">
        <v>34</v>
      </c>
      <c r="H33" s="4">
        <v>8</v>
      </c>
      <c r="I33" s="4">
        <v>6</v>
      </c>
      <c r="J33" s="4">
        <v>4</v>
      </c>
      <c r="K33" s="4">
        <v>0</v>
      </c>
      <c r="L33" s="4">
        <v>35</v>
      </c>
      <c r="M33" s="4">
        <v>173</v>
      </c>
      <c r="N33" s="4">
        <v>67</v>
      </c>
      <c r="O33" s="4" t="s">
        <v>20</v>
      </c>
    </row>
    <row r="34" spans="1:15" x14ac:dyDescent="0.25">
      <c r="A34" s="6" t="s">
        <v>84</v>
      </c>
      <c r="B34" s="7">
        <v>27</v>
      </c>
      <c r="C34" s="6" t="s">
        <v>40</v>
      </c>
      <c r="D34" s="7" t="s">
        <v>17</v>
      </c>
      <c r="E34" s="6" t="s">
        <v>47</v>
      </c>
      <c r="F34" s="7" t="s">
        <v>60</v>
      </c>
      <c r="G34" s="7">
        <v>33</v>
      </c>
      <c r="H34" s="7">
        <v>5</v>
      </c>
      <c r="I34" s="7">
        <v>1</v>
      </c>
      <c r="J34" s="7">
        <v>5</v>
      </c>
      <c r="K34" s="7">
        <v>0</v>
      </c>
      <c r="L34" s="7">
        <v>65</v>
      </c>
      <c r="M34" s="7">
        <v>191</v>
      </c>
      <c r="N34" s="7">
        <v>86</v>
      </c>
      <c r="O34" s="7" t="s">
        <v>20</v>
      </c>
    </row>
    <row r="35" spans="1:15" x14ac:dyDescent="0.25">
      <c r="A35" s="3" t="s">
        <v>85</v>
      </c>
      <c r="B35" s="4">
        <v>24</v>
      </c>
      <c r="C35" s="3" t="s">
        <v>86</v>
      </c>
      <c r="D35" s="4" t="s">
        <v>17</v>
      </c>
      <c r="E35" s="3" t="s">
        <v>47</v>
      </c>
      <c r="F35" s="4" t="s">
        <v>60</v>
      </c>
      <c r="G35" s="4">
        <v>35</v>
      </c>
      <c r="H35" s="4">
        <v>2</v>
      </c>
      <c r="I35" s="4">
        <v>2</v>
      </c>
      <c r="J35" s="4">
        <v>3</v>
      </c>
      <c r="K35" s="4">
        <v>0</v>
      </c>
      <c r="L35" s="4">
        <v>90</v>
      </c>
      <c r="M35" s="4">
        <v>192</v>
      </c>
      <c r="N35" s="4">
        <v>87</v>
      </c>
      <c r="O35" s="4" t="s">
        <v>20</v>
      </c>
    </row>
    <row r="36" spans="1:15" x14ac:dyDescent="0.25">
      <c r="A36" s="6" t="s">
        <v>87</v>
      </c>
      <c r="B36" s="7">
        <v>25</v>
      </c>
      <c r="C36" s="6" t="s">
        <v>86</v>
      </c>
      <c r="D36" s="7" t="s">
        <v>17</v>
      </c>
      <c r="E36" s="6" t="s">
        <v>18</v>
      </c>
      <c r="F36" s="7" t="s">
        <v>60</v>
      </c>
      <c r="G36" s="7">
        <v>29</v>
      </c>
      <c r="H36" s="7">
        <v>3</v>
      </c>
      <c r="I36" s="7">
        <v>0</v>
      </c>
      <c r="J36" s="7">
        <v>3</v>
      </c>
      <c r="K36" s="7">
        <v>0</v>
      </c>
      <c r="L36" s="7">
        <v>65</v>
      </c>
      <c r="M36" s="7">
        <v>194</v>
      </c>
      <c r="N36" s="7">
        <v>91</v>
      </c>
      <c r="O36" s="7" t="s">
        <v>20</v>
      </c>
    </row>
    <row r="37" spans="1:15" x14ac:dyDescent="0.25">
      <c r="A37" s="3" t="s">
        <v>88</v>
      </c>
      <c r="B37" s="4">
        <v>31</v>
      </c>
      <c r="C37" s="3" t="s">
        <v>89</v>
      </c>
      <c r="D37" s="4" t="s">
        <v>17</v>
      </c>
      <c r="E37" s="3" t="s">
        <v>18</v>
      </c>
      <c r="F37" s="4" t="s">
        <v>90</v>
      </c>
      <c r="G37" s="4">
        <v>26</v>
      </c>
      <c r="H37" s="4">
        <v>1</v>
      </c>
      <c r="I37" s="4">
        <v>5</v>
      </c>
      <c r="J37" s="4">
        <v>4</v>
      </c>
      <c r="K37" s="4">
        <v>0</v>
      </c>
      <c r="L37" s="4">
        <v>30</v>
      </c>
      <c r="M37" s="4">
        <v>178</v>
      </c>
      <c r="N37" s="4">
        <v>70</v>
      </c>
      <c r="O37" s="4" t="s">
        <v>20</v>
      </c>
    </row>
    <row r="38" spans="1:15" x14ac:dyDescent="0.25">
      <c r="A38" s="6" t="s">
        <v>91</v>
      </c>
      <c r="B38" s="7">
        <v>25</v>
      </c>
      <c r="C38" s="6" t="s">
        <v>37</v>
      </c>
      <c r="D38" s="7" t="s">
        <v>17</v>
      </c>
      <c r="E38" s="6" t="s">
        <v>44</v>
      </c>
      <c r="F38" s="7" t="s">
        <v>64</v>
      </c>
      <c r="G38" s="7">
        <v>18</v>
      </c>
      <c r="H38" s="7">
        <v>1</v>
      </c>
      <c r="I38" s="7">
        <v>4</v>
      </c>
      <c r="J38" s="7">
        <v>2</v>
      </c>
      <c r="K38" s="7">
        <v>0</v>
      </c>
      <c r="L38" s="7">
        <v>55</v>
      </c>
      <c r="M38" s="7">
        <v>180</v>
      </c>
      <c r="N38" s="7">
        <v>76</v>
      </c>
      <c r="O38" s="7" t="s">
        <v>20</v>
      </c>
    </row>
    <row r="39" spans="1:15" x14ac:dyDescent="0.25">
      <c r="A39" s="3" t="s">
        <v>92</v>
      </c>
      <c r="B39" s="4">
        <v>23</v>
      </c>
      <c r="C39" s="3" t="s">
        <v>93</v>
      </c>
      <c r="D39" s="4" t="s">
        <v>17</v>
      </c>
      <c r="E39" s="3" t="s">
        <v>44</v>
      </c>
      <c r="F39" s="4" t="s">
        <v>62</v>
      </c>
      <c r="G39" s="4">
        <v>32</v>
      </c>
      <c r="H39" s="4">
        <v>3</v>
      </c>
      <c r="I39" s="4">
        <v>4</v>
      </c>
      <c r="J39" s="4">
        <v>8</v>
      </c>
      <c r="K39" s="4">
        <v>0</v>
      </c>
      <c r="L39" s="4">
        <v>80</v>
      </c>
      <c r="M39" s="4">
        <v>178</v>
      </c>
      <c r="N39" s="4">
        <v>75</v>
      </c>
      <c r="O39" s="4" t="s">
        <v>20</v>
      </c>
    </row>
    <row r="40" spans="1:15" x14ac:dyDescent="0.25">
      <c r="A40" s="6" t="s">
        <v>94</v>
      </c>
      <c r="B40" s="7">
        <v>24</v>
      </c>
      <c r="C40" s="6" t="s">
        <v>95</v>
      </c>
      <c r="D40" s="7" t="s">
        <v>17</v>
      </c>
      <c r="E40" s="6" t="s">
        <v>44</v>
      </c>
      <c r="F40" s="7" t="s">
        <v>74</v>
      </c>
      <c r="G40" s="7">
        <v>27</v>
      </c>
      <c r="H40" s="7">
        <v>3</v>
      </c>
      <c r="I40" s="7">
        <v>5</v>
      </c>
      <c r="J40" s="7">
        <v>5</v>
      </c>
      <c r="K40" s="7">
        <v>0</v>
      </c>
      <c r="L40" s="7">
        <v>65</v>
      </c>
      <c r="M40" s="7">
        <v>178</v>
      </c>
      <c r="N40" s="7">
        <v>77</v>
      </c>
      <c r="O40" s="7" t="s">
        <v>20</v>
      </c>
    </row>
    <row r="41" spans="1:15" x14ac:dyDescent="0.25">
      <c r="A41" s="3" t="s">
        <v>96</v>
      </c>
      <c r="B41" s="4">
        <v>22</v>
      </c>
      <c r="C41" s="3" t="s">
        <v>37</v>
      </c>
      <c r="D41" s="4" t="s">
        <v>17</v>
      </c>
      <c r="E41" s="3" t="s">
        <v>44</v>
      </c>
      <c r="F41" s="4" t="s">
        <v>19</v>
      </c>
      <c r="G41" s="4">
        <v>29</v>
      </c>
      <c r="H41" s="4">
        <v>11</v>
      </c>
      <c r="I41" s="4">
        <v>5</v>
      </c>
      <c r="J41" s="4">
        <v>3</v>
      </c>
      <c r="K41" s="4">
        <v>0</v>
      </c>
      <c r="L41" s="4">
        <v>50</v>
      </c>
      <c r="M41" s="4">
        <v>178</v>
      </c>
      <c r="N41" s="4">
        <v>71</v>
      </c>
      <c r="O41" s="4" t="s">
        <v>20</v>
      </c>
    </row>
    <row r="42" spans="1:15" x14ac:dyDescent="0.25">
      <c r="A42" s="6" t="s">
        <v>97</v>
      </c>
      <c r="B42" s="7">
        <v>29</v>
      </c>
      <c r="C42" s="6" t="s">
        <v>37</v>
      </c>
      <c r="D42" s="7" t="s">
        <v>17</v>
      </c>
      <c r="E42" s="6" t="s">
        <v>23</v>
      </c>
      <c r="F42" s="7" t="s">
        <v>19</v>
      </c>
      <c r="G42" s="7">
        <v>36</v>
      </c>
      <c r="H42" s="7">
        <v>7</v>
      </c>
      <c r="I42" s="7">
        <v>12</v>
      </c>
      <c r="J42" s="7">
        <v>3</v>
      </c>
      <c r="K42" s="7">
        <v>0</v>
      </c>
      <c r="L42" s="7">
        <v>20</v>
      </c>
      <c r="M42" s="7">
        <v>178</v>
      </c>
      <c r="N42" s="7">
        <v>72</v>
      </c>
      <c r="O42" s="7" t="s">
        <v>20</v>
      </c>
    </row>
    <row r="43" spans="1:15" x14ac:dyDescent="0.25">
      <c r="A43" s="3" t="s">
        <v>98</v>
      </c>
      <c r="B43" s="4">
        <v>22</v>
      </c>
      <c r="C43" s="3" t="s">
        <v>22</v>
      </c>
      <c r="D43" s="4" t="s">
        <v>17</v>
      </c>
      <c r="E43" s="3" t="s">
        <v>30</v>
      </c>
      <c r="F43" s="4" t="s">
        <v>50</v>
      </c>
      <c r="G43" s="4">
        <v>36</v>
      </c>
      <c r="H43" s="4">
        <v>6</v>
      </c>
      <c r="I43" s="4">
        <v>11</v>
      </c>
      <c r="J43" s="4">
        <v>3</v>
      </c>
      <c r="K43" s="4">
        <v>0</v>
      </c>
      <c r="L43" s="4">
        <v>40</v>
      </c>
      <c r="M43" s="4">
        <v>176</v>
      </c>
      <c r="N43" s="4">
        <v>72</v>
      </c>
      <c r="O43" s="4" t="s">
        <v>20</v>
      </c>
    </row>
    <row r="44" spans="1:15" x14ac:dyDescent="0.25">
      <c r="A44" s="6" t="s">
        <v>99</v>
      </c>
      <c r="B44" s="7">
        <v>22</v>
      </c>
      <c r="C44" s="6" t="s">
        <v>37</v>
      </c>
      <c r="D44" s="7" t="s">
        <v>17</v>
      </c>
      <c r="E44" s="6" t="s">
        <v>38</v>
      </c>
      <c r="F44" s="7" t="s">
        <v>45</v>
      </c>
      <c r="G44" s="7">
        <v>35</v>
      </c>
      <c r="H44" s="7">
        <v>8</v>
      </c>
      <c r="I44" s="7">
        <v>10</v>
      </c>
      <c r="J44" s="7">
        <v>4</v>
      </c>
      <c r="K44" s="7">
        <v>0</v>
      </c>
      <c r="L44" s="7">
        <v>50</v>
      </c>
      <c r="M44" s="7">
        <v>183</v>
      </c>
      <c r="N44" s="7">
        <v>77</v>
      </c>
      <c r="O44" s="7" t="s">
        <v>20</v>
      </c>
    </row>
    <row r="45" spans="1:15" x14ac:dyDescent="0.25">
      <c r="A45" s="3" t="s">
        <v>100</v>
      </c>
      <c r="B45" s="4">
        <v>27</v>
      </c>
      <c r="C45" s="3" t="s">
        <v>101</v>
      </c>
      <c r="D45" s="4" t="s">
        <v>17</v>
      </c>
      <c r="E45" s="3" t="s">
        <v>102</v>
      </c>
      <c r="F45" s="4" t="s">
        <v>90</v>
      </c>
      <c r="G45" s="4">
        <v>35</v>
      </c>
      <c r="H45" s="4">
        <v>4</v>
      </c>
      <c r="I45" s="4">
        <v>10</v>
      </c>
      <c r="J45" s="4">
        <v>5</v>
      </c>
      <c r="K45" s="4">
        <v>0</v>
      </c>
      <c r="L45" s="4">
        <v>30</v>
      </c>
      <c r="M45" s="4">
        <v>181</v>
      </c>
      <c r="N45" s="4">
        <v>70</v>
      </c>
      <c r="O45" s="4" t="s">
        <v>20</v>
      </c>
    </row>
    <row r="46" spans="1:15" x14ac:dyDescent="0.25">
      <c r="A46" s="6" t="s">
        <v>103</v>
      </c>
      <c r="B46" s="7">
        <v>24</v>
      </c>
      <c r="C46" s="6" t="s">
        <v>104</v>
      </c>
      <c r="D46" s="7" t="s">
        <v>17</v>
      </c>
      <c r="E46" s="6" t="s">
        <v>33</v>
      </c>
      <c r="F46" s="7" t="s">
        <v>74</v>
      </c>
      <c r="G46" s="7">
        <v>35</v>
      </c>
      <c r="H46" s="7">
        <v>6</v>
      </c>
      <c r="I46" s="7">
        <v>10</v>
      </c>
      <c r="J46" s="7">
        <v>4</v>
      </c>
      <c r="K46" s="7">
        <v>0</v>
      </c>
      <c r="L46" s="7">
        <v>30</v>
      </c>
      <c r="M46" s="7">
        <v>181</v>
      </c>
      <c r="N46" s="7">
        <v>75</v>
      </c>
      <c r="O46" s="7" t="s">
        <v>20</v>
      </c>
    </row>
    <row r="47" spans="1:15" x14ac:dyDescent="0.25">
      <c r="A47" s="3" t="s">
        <v>105</v>
      </c>
      <c r="B47" s="4">
        <v>27</v>
      </c>
      <c r="C47" s="3" t="s">
        <v>86</v>
      </c>
      <c r="D47" s="4" t="s">
        <v>17</v>
      </c>
      <c r="E47" s="3" t="s">
        <v>106</v>
      </c>
      <c r="F47" s="4" t="s">
        <v>24</v>
      </c>
      <c r="G47" s="4">
        <v>35</v>
      </c>
      <c r="H47" s="4">
        <v>14</v>
      </c>
      <c r="I47" s="4">
        <v>4</v>
      </c>
      <c r="J47" s="4">
        <v>3</v>
      </c>
      <c r="K47" s="4">
        <v>0</v>
      </c>
      <c r="L47" s="4">
        <v>30</v>
      </c>
      <c r="M47" s="4">
        <v>188</v>
      </c>
      <c r="N47" s="4">
        <v>83</v>
      </c>
      <c r="O47" s="4" t="s">
        <v>20</v>
      </c>
    </row>
    <row r="48" spans="1:15" x14ac:dyDescent="0.25">
      <c r="A48" s="6" t="s">
        <v>107</v>
      </c>
      <c r="B48" s="7">
        <v>33</v>
      </c>
      <c r="C48" s="6" t="s">
        <v>108</v>
      </c>
      <c r="D48" s="7" t="s">
        <v>17</v>
      </c>
      <c r="E48" s="6" t="s">
        <v>102</v>
      </c>
      <c r="F48" s="7" t="s">
        <v>24</v>
      </c>
      <c r="G48" s="7">
        <v>29</v>
      </c>
      <c r="H48" s="7">
        <v>10</v>
      </c>
      <c r="I48" s="7">
        <v>6</v>
      </c>
      <c r="J48" s="7">
        <v>2</v>
      </c>
      <c r="K48" s="7">
        <v>0</v>
      </c>
      <c r="L48" s="7">
        <v>12</v>
      </c>
      <c r="M48" s="7">
        <v>190</v>
      </c>
      <c r="N48" s="7">
        <v>85</v>
      </c>
      <c r="O48" s="7" t="s">
        <v>20</v>
      </c>
    </row>
    <row r="49" spans="1:15" x14ac:dyDescent="0.25">
      <c r="A49" s="3" t="s">
        <v>109</v>
      </c>
      <c r="B49" s="4">
        <v>29</v>
      </c>
      <c r="C49" s="3" t="s">
        <v>40</v>
      </c>
      <c r="D49" s="4" t="s">
        <v>17</v>
      </c>
      <c r="E49" s="3" t="s">
        <v>102</v>
      </c>
      <c r="F49" s="4" t="s">
        <v>45</v>
      </c>
      <c r="G49" s="4">
        <v>34</v>
      </c>
      <c r="H49" s="4">
        <v>5</v>
      </c>
      <c r="I49" s="4">
        <v>8</v>
      </c>
      <c r="J49" s="4">
        <v>5</v>
      </c>
      <c r="K49" s="4">
        <v>0</v>
      </c>
      <c r="L49" s="4">
        <v>22</v>
      </c>
      <c r="M49" s="4">
        <v>178</v>
      </c>
      <c r="N49" s="4">
        <v>72</v>
      </c>
      <c r="O49" s="4" t="s">
        <v>20</v>
      </c>
    </row>
    <row r="50" spans="1:15" x14ac:dyDescent="0.25">
      <c r="A50" s="6" t="s">
        <v>110</v>
      </c>
      <c r="B50" s="7">
        <v>33</v>
      </c>
      <c r="C50" s="6" t="s">
        <v>37</v>
      </c>
      <c r="D50" s="7" t="s">
        <v>17</v>
      </c>
      <c r="E50" s="6" t="s">
        <v>23</v>
      </c>
      <c r="F50" s="7" t="s">
        <v>24</v>
      </c>
      <c r="G50" s="7">
        <v>15</v>
      </c>
      <c r="H50" s="7">
        <v>5</v>
      </c>
      <c r="I50" s="7">
        <v>2</v>
      </c>
      <c r="J50" s="7">
        <v>1</v>
      </c>
      <c r="K50" s="7">
        <v>0</v>
      </c>
      <c r="L50" s="7">
        <v>8</v>
      </c>
      <c r="M50" s="7">
        <v>183</v>
      </c>
      <c r="N50" s="7">
        <v>79</v>
      </c>
      <c r="O50" s="7" t="s">
        <v>20</v>
      </c>
    </row>
    <row r="51" spans="1:15" x14ac:dyDescent="0.25">
      <c r="A51" s="3" t="s">
        <v>111</v>
      </c>
      <c r="B51" s="4">
        <v>24</v>
      </c>
      <c r="C51" s="3" t="s">
        <v>37</v>
      </c>
      <c r="D51" s="4" t="s">
        <v>17</v>
      </c>
      <c r="E51" s="3" t="s">
        <v>102</v>
      </c>
      <c r="F51" s="4" t="s">
        <v>45</v>
      </c>
      <c r="G51" s="4">
        <v>32</v>
      </c>
      <c r="H51" s="4">
        <v>8</v>
      </c>
      <c r="I51" s="4">
        <v>4</v>
      </c>
      <c r="J51" s="4">
        <v>3</v>
      </c>
      <c r="K51" s="4">
        <v>0</v>
      </c>
      <c r="L51" s="4">
        <v>35</v>
      </c>
      <c r="M51" s="4">
        <v>178</v>
      </c>
      <c r="N51" s="4">
        <v>70</v>
      </c>
      <c r="O51" s="4" t="s">
        <v>20</v>
      </c>
    </row>
  </sheetData>
  <autoFilter ref="A1:O1" xr:uid="{00000000-0009-0000-0000-000001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
  <sheetViews>
    <sheetView workbookViewId="0">
      <pane ySplit="1" topLeftCell="A2" activePane="bottomLeft" state="frozen"/>
      <selection pane="bottomLeft"/>
    </sheetView>
  </sheetViews>
  <sheetFormatPr defaultRowHeight="15" x14ac:dyDescent="0.25"/>
  <cols>
    <col min="1" max="1" width="24" customWidth="1"/>
    <col min="2" max="2" width="7" customWidth="1"/>
    <col min="3" max="3" width="16" customWidth="1"/>
    <col min="4" max="4" width="18" customWidth="1"/>
    <col min="5" max="5" width="24" customWidth="1"/>
    <col min="6" max="6" width="10" customWidth="1"/>
    <col min="7" max="7" width="13" customWidth="1"/>
    <col min="8" max="8" width="8" customWidth="1"/>
    <col min="9" max="9" width="9" customWidth="1"/>
    <col min="10" max="10" width="13" customWidth="1"/>
    <col min="11" max="11" width="10" customWidth="1"/>
    <col min="12" max="12" width="18" customWidth="1"/>
    <col min="13" max="14" width="11" customWidth="1"/>
    <col min="15" max="15" width="10" customWidth="1"/>
  </cols>
  <sheetData>
    <row r="1" spans="1:15" ht="21.95" customHeight="1"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5" x14ac:dyDescent="0.25">
      <c r="A2" s="9" t="s">
        <v>112</v>
      </c>
      <c r="B2" s="10">
        <v>26</v>
      </c>
      <c r="C2" s="9" t="s">
        <v>86</v>
      </c>
      <c r="D2" s="10" t="s">
        <v>113</v>
      </c>
      <c r="E2" s="9" t="s">
        <v>114</v>
      </c>
      <c r="F2" s="10" t="s">
        <v>24</v>
      </c>
      <c r="G2" s="10">
        <v>34</v>
      </c>
      <c r="H2" s="10">
        <v>31</v>
      </c>
      <c r="I2" s="10">
        <v>9</v>
      </c>
      <c r="J2" s="10">
        <v>5</v>
      </c>
      <c r="K2" s="10">
        <v>1</v>
      </c>
      <c r="L2" s="10">
        <v>180</v>
      </c>
      <c r="M2" s="10">
        <v>178</v>
      </c>
      <c r="N2" s="10">
        <v>73</v>
      </c>
      <c r="O2" s="10" t="s">
        <v>20</v>
      </c>
    </row>
    <row r="3" spans="1:15" x14ac:dyDescent="0.25">
      <c r="A3" s="3" t="s">
        <v>115</v>
      </c>
      <c r="B3" s="4">
        <v>36</v>
      </c>
      <c r="C3" s="3" t="s">
        <v>116</v>
      </c>
      <c r="D3" s="4" t="s">
        <v>113</v>
      </c>
      <c r="E3" s="3" t="s">
        <v>117</v>
      </c>
      <c r="F3" s="4" t="s">
        <v>24</v>
      </c>
      <c r="G3" s="4">
        <v>35</v>
      </c>
      <c r="H3" s="4">
        <v>27</v>
      </c>
      <c r="I3" s="4">
        <v>8</v>
      </c>
      <c r="J3" s="4">
        <v>5</v>
      </c>
      <c r="K3" s="4">
        <v>0</v>
      </c>
      <c r="L3" s="4">
        <v>20</v>
      </c>
      <c r="M3" s="4">
        <v>185</v>
      </c>
      <c r="N3" s="4">
        <v>81</v>
      </c>
      <c r="O3" s="4" t="s">
        <v>20</v>
      </c>
    </row>
    <row r="4" spans="1:15" x14ac:dyDescent="0.25">
      <c r="A4" s="9" t="s">
        <v>118</v>
      </c>
      <c r="B4" s="10">
        <v>24</v>
      </c>
      <c r="C4" s="9" t="s">
        <v>40</v>
      </c>
      <c r="D4" s="10" t="s">
        <v>113</v>
      </c>
      <c r="E4" s="9" t="s">
        <v>114</v>
      </c>
      <c r="F4" s="10" t="s">
        <v>50</v>
      </c>
      <c r="G4" s="10">
        <v>30</v>
      </c>
      <c r="H4" s="10">
        <v>16</v>
      </c>
      <c r="I4" s="10">
        <v>10</v>
      </c>
      <c r="J4" s="10">
        <v>8</v>
      </c>
      <c r="K4" s="10">
        <v>1</v>
      </c>
      <c r="L4" s="10">
        <v>200</v>
      </c>
      <c r="M4" s="10">
        <v>176</v>
      </c>
      <c r="N4" s="10">
        <v>73</v>
      </c>
      <c r="O4" s="10" t="s">
        <v>20</v>
      </c>
    </row>
    <row r="5" spans="1:15" x14ac:dyDescent="0.25">
      <c r="A5" s="3" t="s">
        <v>119</v>
      </c>
      <c r="B5" s="4">
        <v>28</v>
      </c>
      <c r="C5" s="3" t="s">
        <v>40</v>
      </c>
      <c r="D5" s="4" t="s">
        <v>113</v>
      </c>
      <c r="E5" s="3" t="s">
        <v>117</v>
      </c>
      <c r="F5" s="4" t="s">
        <v>19</v>
      </c>
      <c r="G5" s="4">
        <v>36</v>
      </c>
      <c r="H5" s="4">
        <v>18</v>
      </c>
      <c r="I5" s="4">
        <v>13</v>
      </c>
      <c r="J5" s="4">
        <v>7</v>
      </c>
      <c r="K5" s="4">
        <v>0</v>
      </c>
      <c r="L5" s="4">
        <v>100</v>
      </c>
      <c r="M5" s="4">
        <v>176</v>
      </c>
      <c r="N5" s="4">
        <v>70</v>
      </c>
      <c r="O5" s="4" t="s">
        <v>20</v>
      </c>
    </row>
    <row r="6" spans="1:15" x14ac:dyDescent="0.25">
      <c r="A6" s="9" t="s">
        <v>120</v>
      </c>
      <c r="B6" s="10">
        <v>17</v>
      </c>
      <c r="C6" s="9" t="s">
        <v>66</v>
      </c>
      <c r="D6" s="10" t="s">
        <v>113</v>
      </c>
      <c r="E6" s="9" t="s">
        <v>117</v>
      </c>
      <c r="F6" s="10" t="s">
        <v>19</v>
      </c>
      <c r="G6" s="10">
        <v>34</v>
      </c>
      <c r="H6" s="10">
        <v>12</v>
      </c>
      <c r="I6" s="10">
        <v>18</v>
      </c>
      <c r="J6" s="10">
        <v>5</v>
      </c>
      <c r="K6" s="10">
        <v>0</v>
      </c>
      <c r="L6" s="10">
        <v>250</v>
      </c>
      <c r="M6" s="10">
        <v>176</v>
      </c>
      <c r="N6" s="10">
        <v>65</v>
      </c>
      <c r="O6" s="10" t="s">
        <v>20</v>
      </c>
    </row>
    <row r="7" spans="1:15" x14ac:dyDescent="0.25">
      <c r="A7" s="3" t="s">
        <v>121</v>
      </c>
      <c r="B7" s="4">
        <v>22</v>
      </c>
      <c r="C7" s="3" t="s">
        <v>66</v>
      </c>
      <c r="D7" s="4" t="s">
        <v>113</v>
      </c>
      <c r="E7" s="3" t="s">
        <v>117</v>
      </c>
      <c r="F7" s="4" t="s">
        <v>74</v>
      </c>
      <c r="G7" s="4">
        <v>31</v>
      </c>
      <c r="H7" s="4">
        <v>8</v>
      </c>
      <c r="I7" s="4">
        <v>10</v>
      </c>
      <c r="J7" s="4">
        <v>6</v>
      </c>
      <c r="K7" s="4">
        <v>0</v>
      </c>
      <c r="L7" s="4">
        <v>180</v>
      </c>
      <c r="M7" s="4">
        <v>174</v>
      </c>
      <c r="N7" s="4">
        <v>60</v>
      </c>
      <c r="O7" s="4" t="s">
        <v>20</v>
      </c>
    </row>
    <row r="8" spans="1:15" x14ac:dyDescent="0.25">
      <c r="A8" s="9" t="s">
        <v>122</v>
      </c>
      <c r="B8" s="10">
        <v>21</v>
      </c>
      <c r="C8" s="9" t="s">
        <v>37</v>
      </c>
      <c r="D8" s="10" t="s">
        <v>113</v>
      </c>
      <c r="E8" s="9" t="s">
        <v>114</v>
      </c>
      <c r="F8" s="10" t="s">
        <v>45</v>
      </c>
      <c r="G8" s="10">
        <v>32</v>
      </c>
      <c r="H8" s="10">
        <v>16</v>
      </c>
      <c r="I8" s="10">
        <v>10</v>
      </c>
      <c r="J8" s="10">
        <v>7</v>
      </c>
      <c r="K8" s="10">
        <v>0</v>
      </c>
      <c r="L8" s="10">
        <v>200</v>
      </c>
      <c r="M8" s="10">
        <v>186</v>
      </c>
      <c r="N8" s="10">
        <v>83</v>
      </c>
      <c r="O8" s="10" t="s">
        <v>20</v>
      </c>
    </row>
    <row r="9" spans="1:15" x14ac:dyDescent="0.25">
      <c r="A9" s="3" t="s">
        <v>123</v>
      </c>
      <c r="B9" s="4">
        <v>24</v>
      </c>
      <c r="C9" s="3" t="s">
        <v>40</v>
      </c>
      <c r="D9" s="4" t="s">
        <v>113</v>
      </c>
      <c r="E9" s="3" t="s">
        <v>114</v>
      </c>
      <c r="F9" s="4" t="s">
        <v>19</v>
      </c>
      <c r="G9" s="4">
        <v>36</v>
      </c>
      <c r="H9" s="4">
        <v>12</v>
      </c>
      <c r="I9" s="4">
        <v>9</v>
      </c>
      <c r="J9" s="4">
        <v>3</v>
      </c>
      <c r="K9" s="4">
        <v>0</v>
      </c>
      <c r="L9" s="4">
        <v>120</v>
      </c>
      <c r="M9" s="4">
        <v>174</v>
      </c>
      <c r="N9" s="4">
        <v>68</v>
      </c>
      <c r="O9" s="4" t="s">
        <v>20</v>
      </c>
    </row>
    <row r="10" spans="1:15" x14ac:dyDescent="0.25">
      <c r="A10" s="9" t="s">
        <v>124</v>
      </c>
      <c r="B10" s="10">
        <v>33</v>
      </c>
      <c r="C10" s="9" t="s">
        <v>86</v>
      </c>
      <c r="D10" s="10" t="s">
        <v>113</v>
      </c>
      <c r="E10" s="9" t="s">
        <v>125</v>
      </c>
      <c r="F10" s="10" t="s">
        <v>42</v>
      </c>
      <c r="G10" s="10">
        <v>37</v>
      </c>
      <c r="H10" s="10">
        <v>14</v>
      </c>
      <c r="I10" s="10">
        <v>12</v>
      </c>
      <c r="J10" s="10">
        <v>5</v>
      </c>
      <c r="K10" s="10">
        <v>0</v>
      </c>
      <c r="L10" s="10">
        <v>25</v>
      </c>
      <c r="M10" s="10">
        <v>176</v>
      </c>
      <c r="N10" s="10">
        <v>73</v>
      </c>
      <c r="O10" s="10" t="s">
        <v>20</v>
      </c>
    </row>
    <row r="11" spans="1:15" x14ac:dyDescent="0.25">
      <c r="A11" s="3" t="s">
        <v>126</v>
      </c>
      <c r="B11" s="4">
        <v>25</v>
      </c>
      <c r="C11" s="3" t="s">
        <v>95</v>
      </c>
      <c r="D11" s="4" t="s">
        <v>113</v>
      </c>
      <c r="E11" s="3" t="s">
        <v>125</v>
      </c>
      <c r="F11" s="4" t="s">
        <v>24</v>
      </c>
      <c r="G11" s="4">
        <v>37</v>
      </c>
      <c r="H11" s="4">
        <v>19</v>
      </c>
      <c r="I11" s="4">
        <v>12</v>
      </c>
      <c r="J11" s="4">
        <v>4</v>
      </c>
      <c r="K11" s="4">
        <v>0</v>
      </c>
      <c r="L11" s="4">
        <v>120</v>
      </c>
      <c r="M11" s="4">
        <v>170</v>
      </c>
      <c r="N11" s="4">
        <v>72</v>
      </c>
      <c r="O11" s="4" t="s">
        <v>20</v>
      </c>
    </row>
    <row r="12" spans="1:15" x14ac:dyDescent="0.25">
      <c r="A12" s="9" t="s">
        <v>127</v>
      </c>
      <c r="B12" s="10">
        <v>33</v>
      </c>
      <c r="C12" s="9" t="s">
        <v>66</v>
      </c>
      <c r="D12" s="10" t="s">
        <v>113</v>
      </c>
      <c r="E12" s="9" t="s">
        <v>114</v>
      </c>
      <c r="F12" s="10" t="s">
        <v>64</v>
      </c>
      <c r="G12" s="10">
        <v>15</v>
      </c>
      <c r="H12" s="10">
        <v>1</v>
      </c>
      <c r="I12" s="10">
        <v>2</v>
      </c>
      <c r="J12" s="10">
        <v>3</v>
      </c>
      <c r="K12" s="10">
        <v>0</v>
      </c>
      <c r="L12" s="10">
        <v>20</v>
      </c>
      <c r="M12" s="10">
        <v>173</v>
      </c>
      <c r="N12" s="10">
        <v>73</v>
      </c>
      <c r="O12" s="10" t="s">
        <v>20</v>
      </c>
    </row>
    <row r="13" spans="1:15" x14ac:dyDescent="0.25">
      <c r="A13" s="3" t="s">
        <v>128</v>
      </c>
      <c r="B13" s="4">
        <v>25</v>
      </c>
      <c r="C13" s="3" t="s">
        <v>66</v>
      </c>
      <c r="D13" s="4" t="s">
        <v>113</v>
      </c>
      <c r="E13" s="3" t="s">
        <v>117</v>
      </c>
      <c r="F13" s="4" t="s">
        <v>50</v>
      </c>
      <c r="G13" s="4">
        <v>28</v>
      </c>
      <c r="H13" s="4">
        <v>6</v>
      </c>
      <c r="I13" s="4">
        <v>5</v>
      </c>
      <c r="J13" s="4">
        <v>2</v>
      </c>
      <c r="K13" s="4">
        <v>0</v>
      </c>
      <c r="L13" s="4">
        <v>40</v>
      </c>
      <c r="M13" s="4">
        <v>184</v>
      </c>
      <c r="N13" s="4">
        <v>76</v>
      </c>
      <c r="O13" s="4" t="s">
        <v>20</v>
      </c>
    </row>
    <row r="14" spans="1:15" x14ac:dyDescent="0.25">
      <c r="A14" s="9" t="s">
        <v>129</v>
      </c>
      <c r="B14" s="10">
        <v>32</v>
      </c>
      <c r="C14" s="9" t="s">
        <v>130</v>
      </c>
      <c r="D14" s="10" t="s">
        <v>113</v>
      </c>
      <c r="E14" s="9" t="s">
        <v>117</v>
      </c>
      <c r="F14" s="10" t="s">
        <v>67</v>
      </c>
      <c r="G14" s="10">
        <v>2</v>
      </c>
      <c r="H14" s="10">
        <v>0</v>
      </c>
      <c r="I14" s="10">
        <v>0</v>
      </c>
      <c r="J14" s="10">
        <v>0</v>
      </c>
      <c r="K14" s="10">
        <v>0</v>
      </c>
      <c r="L14" s="10">
        <v>20</v>
      </c>
      <c r="M14" s="10">
        <v>187</v>
      </c>
      <c r="N14" s="10">
        <v>85</v>
      </c>
      <c r="O14" s="10" t="s">
        <v>20</v>
      </c>
    </row>
    <row r="15" spans="1:15" x14ac:dyDescent="0.25">
      <c r="A15" s="3" t="s">
        <v>131</v>
      </c>
      <c r="B15" s="4">
        <v>35</v>
      </c>
      <c r="C15" s="3" t="s">
        <v>116</v>
      </c>
      <c r="D15" s="4" t="s">
        <v>113</v>
      </c>
      <c r="E15" s="3" t="s">
        <v>117</v>
      </c>
      <c r="F15" s="4" t="s">
        <v>67</v>
      </c>
      <c r="G15" s="4">
        <v>32</v>
      </c>
      <c r="H15" s="4">
        <v>0</v>
      </c>
      <c r="I15" s="4">
        <v>0</v>
      </c>
      <c r="J15" s="4">
        <v>1</v>
      </c>
      <c r="K15" s="4">
        <v>0</v>
      </c>
      <c r="L15" s="4">
        <v>5</v>
      </c>
      <c r="M15" s="4">
        <v>196</v>
      </c>
      <c r="N15" s="4">
        <v>88</v>
      </c>
      <c r="O15" s="4" t="s">
        <v>20</v>
      </c>
    </row>
    <row r="16" spans="1:15" x14ac:dyDescent="0.25">
      <c r="A16" s="9" t="s">
        <v>132</v>
      </c>
      <c r="B16" s="10">
        <v>33</v>
      </c>
      <c r="C16" s="9" t="s">
        <v>71</v>
      </c>
      <c r="D16" s="10" t="s">
        <v>113</v>
      </c>
      <c r="E16" s="9" t="s">
        <v>114</v>
      </c>
      <c r="F16" s="10" t="s">
        <v>67</v>
      </c>
      <c r="G16" s="10">
        <v>30</v>
      </c>
      <c r="H16" s="10">
        <v>0</v>
      </c>
      <c r="I16" s="10">
        <v>0</v>
      </c>
      <c r="J16" s="10">
        <v>1</v>
      </c>
      <c r="K16" s="10">
        <v>0</v>
      </c>
      <c r="L16" s="10">
        <v>35</v>
      </c>
      <c r="M16" s="10">
        <v>199</v>
      </c>
      <c r="N16" s="10">
        <v>96</v>
      </c>
      <c r="O16" s="10" t="s">
        <v>20</v>
      </c>
    </row>
    <row r="17" spans="1:15" x14ac:dyDescent="0.25">
      <c r="A17" s="3" t="s">
        <v>133</v>
      </c>
      <c r="B17" s="4">
        <v>32</v>
      </c>
      <c r="C17" s="3" t="s">
        <v>134</v>
      </c>
      <c r="D17" s="4" t="s">
        <v>113</v>
      </c>
      <c r="E17" s="3" t="s">
        <v>125</v>
      </c>
      <c r="F17" s="4" t="s">
        <v>67</v>
      </c>
      <c r="G17" s="4">
        <v>36</v>
      </c>
      <c r="H17" s="4">
        <v>0</v>
      </c>
      <c r="I17" s="4">
        <v>0</v>
      </c>
      <c r="J17" s="4">
        <v>2</v>
      </c>
      <c r="K17" s="4">
        <v>0</v>
      </c>
      <c r="L17" s="4">
        <v>25</v>
      </c>
      <c r="M17" s="4">
        <v>188</v>
      </c>
      <c r="N17" s="4">
        <v>87</v>
      </c>
      <c r="O17" s="4" t="s">
        <v>20</v>
      </c>
    </row>
    <row r="18" spans="1:15" x14ac:dyDescent="0.25">
      <c r="A18" s="9" t="s">
        <v>135</v>
      </c>
      <c r="B18" s="10">
        <v>30</v>
      </c>
      <c r="C18" s="9" t="s">
        <v>66</v>
      </c>
      <c r="D18" s="10" t="s">
        <v>113</v>
      </c>
      <c r="E18" s="9" t="s">
        <v>114</v>
      </c>
      <c r="F18" s="10" t="s">
        <v>60</v>
      </c>
      <c r="G18" s="10">
        <v>17</v>
      </c>
      <c r="H18" s="10">
        <v>0</v>
      </c>
      <c r="I18" s="10">
        <v>1</v>
      </c>
      <c r="J18" s="10">
        <v>2</v>
      </c>
      <c r="K18" s="10">
        <v>0</v>
      </c>
      <c r="L18" s="10">
        <v>20</v>
      </c>
      <c r="M18" s="10">
        <v>189</v>
      </c>
      <c r="N18" s="10">
        <v>86</v>
      </c>
      <c r="O18" s="10" t="s">
        <v>20</v>
      </c>
    </row>
    <row r="19" spans="1:15" x14ac:dyDescent="0.25">
      <c r="A19" s="3" t="s">
        <v>136</v>
      </c>
      <c r="B19" s="4">
        <v>26</v>
      </c>
      <c r="C19" s="3" t="s">
        <v>137</v>
      </c>
      <c r="D19" s="4" t="s">
        <v>113</v>
      </c>
      <c r="E19" s="3" t="s">
        <v>117</v>
      </c>
      <c r="F19" s="4" t="s">
        <v>60</v>
      </c>
      <c r="G19" s="4">
        <v>14</v>
      </c>
      <c r="H19" s="4">
        <v>0</v>
      </c>
      <c r="I19" s="4">
        <v>0</v>
      </c>
      <c r="J19" s="4">
        <v>3</v>
      </c>
      <c r="K19" s="4">
        <v>0</v>
      </c>
      <c r="L19" s="4">
        <v>65</v>
      </c>
      <c r="M19" s="4">
        <v>188</v>
      </c>
      <c r="N19" s="4">
        <v>85</v>
      </c>
      <c r="O19" s="4" t="s">
        <v>20</v>
      </c>
    </row>
    <row r="20" spans="1:15" x14ac:dyDescent="0.25">
      <c r="A20" s="9" t="s">
        <v>138</v>
      </c>
      <c r="B20" s="10">
        <v>17</v>
      </c>
      <c r="C20" s="9" t="s">
        <v>66</v>
      </c>
      <c r="D20" s="10" t="s">
        <v>113</v>
      </c>
      <c r="E20" s="9" t="s">
        <v>117</v>
      </c>
      <c r="F20" s="10" t="s">
        <v>60</v>
      </c>
      <c r="G20" s="10">
        <v>28</v>
      </c>
      <c r="H20" s="10">
        <v>1</v>
      </c>
      <c r="I20" s="10">
        <v>2</v>
      </c>
      <c r="J20" s="10">
        <v>3</v>
      </c>
      <c r="K20" s="10">
        <v>0</v>
      </c>
      <c r="L20" s="10">
        <v>80</v>
      </c>
      <c r="M20" s="10">
        <v>185</v>
      </c>
      <c r="N20" s="10">
        <v>77</v>
      </c>
      <c r="O20" s="10" t="s">
        <v>20</v>
      </c>
    </row>
    <row r="21" spans="1:15" x14ac:dyDescent="0.25">
      <c r="A21" s="3" t="s">
        <v>139</v>
      </c>
      <c r="B21" s="4">
        <v>33</v>
      </c>
      <c r="C21" s="3" t="s">
        <v>66</v>
      </c>
      <c r="D21" s="4" t="s">
        <v>113</v>
      </c>
      <c r="E21" s="3" t="s">
        <v>114</v>
      </c>
      <c r="F21" s="4" t="s">
        <v>64</v>
      </c>
      <c r="G21" s="4">
        <v>28</v>
      </c>
      <c r="H21" s="4">
        <v>1</v>
      </c>
      <c r="I21" s="4">
        <v>3</v>
      </c>
      <c r="J21" s="4">
        <v>3</v>
      </c>
      <c r="K21" s="4">
        <v>0</v>
      </c>
      <c r="L21" s="4">
        <v>8</v>
      </c>
      <c r="M21" s="4">
        <v>173</v>
      </c>
      <c r="N21" s="4">
        <v>68</v>
      </c>
      <c r="O21" s="4" t="s">
        <v>20</v>
      </c>
    </row>
    <row r="22" spans="1:15" x14ac:dyDescent="0.25">
      <c r="A22" s="9" t="s">
        <v>140</v>
      </c>
      <c r="B22" s="10">
        <v>29</v>
      </c>
      <c r="C22" s="9" t="s">
        <v>86</v>
      </c>
      <c r="D22" s="10" t="s">
        <v>113</v>
      </c>
      <c r="E22" s="9" t="s">
        <v>114</v>
      </c>
      <c r="F22" s="10" t="s">
        <v>90</v>
      </c>
      <c r="G22" s="10">
        <v>28</v>
      </c>
      <c r="H22" s="10">
        <v>1</v>
      </c>
      <c r="I22" s="10">
        <v>2</v>
      </c>
      <c r="J22" s="10">
        <v>4</v>
      </c>
      <c r="K22" s="10">
        <v>0</v>
      </c>
      <c r="L22" s="10">
        <v>30</v>
      </c>
      <c r="M22" s="10">
        <v>180</v>
      </c>
      <c r="N22" s="10">
        <v>76</v>
      </c>
      <c r="O22" s="10" t="s">
        <v>20</v>
      </c>
    </row>
    <row r="23" spans="1:15" x14ac:dyDescent="0.25">
      <c r="A23" s="3" t="s">
        <v>141</v>
      </c>
      <c r="B23" s="4">
        <v>26</v>
      </c>
      <c r="C23" s="3" t="s">
        <v>137</v>
      </c>
      <c r="D23" s="4" t="s">
        <v>113</v>
      </c>
      <c r="E23" s="3" t="s">
        <v>114</v>
      </c>
      <c r="F23" s="4" t="s">
        <v>74</v>
      </c>
      <c r="G23" s="4">
        <v>35</v>
      </c>
      <c r="H23" s="4">
        <v>9</v>
      </c>
      <c r="I23" s="4">
        <v>7</v>
      </c>
      <c r="J23" s="4">
        <v>8</v>
      </c>
      <c r="K23" s="4">
        <v>0</v>
      </c>
      <c r="L23" s="4">
        <v>120</v>
      </c>
      <c r="M23" s="4">
        <v>182</v>
      </c>
      <c r="N23" s="4">
        <v>78</v>
      </c>
      <c r="O23" s="4" t="s">
        <v>20</v>
      </c>
    </row>
    <row r="24" spans="1:15" x14ac:dyDescent="0.25">
      <c r="A24" s="9" t="s">
        <v>142</v>
      </c>
      <c r="B24" s="10">
        <v>39</v>
      </c>
      <c r="C24" s="9" t="s">
        <v>143</v>
      </c>
      <c r="D24" s="10" t="s">
        <v>113</v>
      </c>
      <c r="E24" s="9" t="s">
        <v>114</v>
      </c>
      <c r="F24" s="10" t="s">
        <v>74</v>
      </c>
      <c r="G24" s="10">
        <v>25</v>
      </c>
      <c r="H24" s="10">
        <v>2</v>
      </c>
      <c r="I24" s="10">
        <v>4</v>
      </c>
      <c r="J24" s="10">
        <v>2</v>
      </c>
      <c r="K24" s="10">
        <v>0</v>
      </c>
      <c r="L24" s="10">
        <v>8</v>
      </c>
      <c r="M24" s="10">
        <v>172</v>
      </c>
      <c r="N24" s="10">
        <v>66</v>
      </c>
      <c r="O24" s="10" t="s">
        <v>20</v>
      </c>
    </row>
    <row r="25" spans="1:15" x14ac:dyDescent="0.25">
      <c r="A25" s="3" t="s">
        <v>144</v>
      </c>
      <c r="B25" s="4">
        <v>34</v>
      </c>
      <c r="C25" s="3" t="s">
        <v>130</v>
      </c>
      <c r="D25" s="4" t="s">
        <v>113</v>
      </c>
      <c r="E25" s="3" t="s">
        <v>114</v>
      </c>
      <c r="F25" s="4" t="s">
        <v>74</v>
      </c>
      <c r="G25" s="4">
        <v>30</v>
      </c>
      <c r="H25" s="4">
        <v>3</v>
      </c>
      <c r="I25" s="4">
        <v>9</v>
      </c>
      <c r="J25" s="4">
        <v>5</v>
      </c>
      <c r="K25" s="4">
        <v>0</v>
      </c>
      <c r="L25" s="4">
        <v>15</v>
      </c>
      <c r="M25" s="4">
        <v>183</v>
      </c>
      <c r="N25" s="4">
        <v>78</v>
      </c>
      <c r="O25" s="4" t="s">
        <v>20</v>
      </c>
    </row>
    <row r="26" spans="1:15" x14ac:dyDescent="0.25">
      <c r="A26" s="9" t="s">
        <v>145</v>
      </c>
      <c r="B26" s="10">
        <v>20</v>
      </c>
      <c r="C26" s="9" t="s">
        <v>66</v>
      </c>
      <c r="D26" s="10" t="s">
        <v>113</v>
      </c>
      <c r="E26" s="9" t="s">
        <v>117</v>
      </c>
      <c r="F26" s="10" t="s">
        <v>74</v>
      </c>
      <c r="G26" s="10">
        <v>12</v>
      </c>
      <c r="H26" s="10">
        <v>1</v>
      </c>
      <c r="I26" s="10">
        <v>3</v>
      </c>
      <c r="J26" s="10">
        <v>4</v>
      </c>
      <c r="K26" s="10">
        <v>0</v>
      </c>
      <c r="L26" s="10">
        <v>120</v>
      </c>
      <c r="M26" s="10">
        <v>173</v>
      </c>
      <c r="N26" s="10">
        <v>60</v>
      </c>
      <c r="O26" s="10" t="s">
        <v>20</v>
      </c>
    </row>
    <row r="27" spans="1:15" x14ac:dyDescent="0.25">
      <c r="A27" s="3" t="s">
        <v>146</v>
      </c>
      <c r="B27" s="4">
        <v>26</v>
      </c>
      <c r="C27" s="3" t="s">
        <v>66</v>
      </c>
      <c r="D27" s="4" t="s">
        <v>113</v>
      </c>
      <c r="E27" s="3" t="s">
        <v>117</v>
      </c>
      <c r="F27" s="4" t="s">
        <v>45</v>
      </c>
      <c r="G27" s="4">
        <v>19</v>
      </c>
      <c r="H27" s="4">
        <v>5</v>
      </c>
      <c r="I27" s="4">
        <v>5</v>
      </c>
      <c r="J27" s="4">
        <v>3</v>
      </c>
      <c r="K27" s="4">
        <v>0</v>
      </c>
      <c r="L27" s="4">
        <v>70</v>
      </c>
      <c r="M27" s="4">
        <v>180</v>
      </c>
      <c r="N27" s="4">
        <v>74</v>
      </c>
      <c r="O27" s="4" t="s">
        <v>20</v>
      </c>
    </row>
    <row r="28" spans="1:15" x14ac:dyDescent="0.25">
      <c r="A28" s="9" t="s">
        <v>147</v>
      </c>
      <c r="B28" s="10">
        <v>32</v>
      </c>
      <c r="C28" s="9" t="s">
        <v>66</v>
      </c>
      <c r="D28" s="10" t="s">
        <v>113</v>
      </c>
      <c r="E28" s="9" t="s">
        <v>125</v>
      </c>
      <c r="F28" s="10" t="s">
        <v>24</v>
      </c>
      <c r="G28" s="10">
        <v>27</v>
      </c>
      <c r="H28" s="10">
        <v>9</v>
      </c>
      <c r="I28" s="10">
        <v>5</v>
      </c>
      <c r="J28" s="10">
        <v>4</v>
      </c>
      <c r="K28" s="10">
        <v>0</v>
      </c>
      <c r="L28" s="10">
        <v>12</v>
      </c>
      <c r="M28" s="10">
        <v>187</v>
      </c>
      <c r="N28" s="10">
        <v>81</v>
      </c>
      <c r="O28" s="10" t="s">
        <v>20</v>
      </c>
    </row>
    <row r="29" spans="1:15" x14ac:dyDescent="0.25">
      <c r="A29" s="3" t="s">
        <v>148</v>
      </c>
      <c r="B29" s="4">
        <v>25</v>
      </c>
      <c r="C29" s="3" t="s">
        <v>149</v>
      </c>
      <c r="D29" s="4" t="s">
        <v>113</v>
      </c>
      <c r="E29" s="3" t="s">
        <v>150</v>
      </c>
      <c r="F29" s="4" t="s">
        <v>19</v>
      </c>
      <c r="G29" s="4">
        <v>30</v>
      </c>
      <c r="H29" s="4">
        <v>8</v>
      </c>
      <c r="I29" s="4">
        <v>6</v>
      </c>
      <c r="J29" s="4">
        <v>3</v>
      </c>
      <c r="K29" s="4">
        <v>0</v>
      </c>
      <c r="L29" s="4">
        <v>25</v>
      </c>
      <c r="M29" s="4">
        <v>181</v>
      </c>
      <c r="N29" s="4">
        <v>78</v>
      </c>
      <c r="O29" s="4" t="s">
        <v>20</v>
      </c>
    </row>
    <row r="30" spans="1:15" x14ac:dyDescent="0.25">
      <c r="A30" s="9" t="s">
        <v>151</v>
      </c>
      <c r="B30" s="10">
        <v>22</v>
      </c>
      <c r="C30" s="9" t="s">
        <v>66</v>
      </c>
      <c r="D30" s="10" t="s">
        <v>113</v>
      </c>
      <c r="E30" s="9" t="s">
        <v>150</v>
      </c>
      <c r="F30" s="10" t="s">
        <v>50</v>
      </c>
      <c r="G30" s="10">
        <v>33</v>
      </c>
      <c r="H30" s="10">
        <v>10</v>
      </c>
      <c r="I30" s="10">
        <v>9</v>
      </c>
      <c r="J30" s="10">
        <v>4</v>
      </c>
      <c r="K30" s="10">
        <v>0</v>
      </c>
      <c r="L30" s="10">
        <v>90</v>
      </c>
      <c r="M30" s="10">
        <v>182</v>
      </c>
      <c r="N30" s="10">
        <v>73</v>
      </c>
      <c r="O30" s="10" t="s">
        <v>20</v>
      </c>
    </row>
    <row r="31" spans="1:15" x14ac:dyDescent="0.25">
      <c r="A31" s="3" t="s">
        <v>152</v>
      </c>
      <c r="B31" s="4">
        <v>27</v>
      </c>
      <c r="C31" s="3" t="s">
        <v>66</v>
      </c>
      <c r="D31" s="4" t="s">
        <v>113</v>
      </c>
      <c r="E31" s="3" t="s">
        <v>153</v>
      </c>
      <c r="F31" s="4" t="s">
        <v>24</v>
      </c>
      <c r="G31" s="4">
        <v>30</v>
      </c>
      <c r="H31" s="4">
        <v>10</v>
      </c>
      <c r="I31" s="4">
        <v>7</v>
      </c>
      <c r="J31" s="4">
        <v>3</v>
      </c>
      <c r="K31" s="4">
        <v>0</v>
      </c>
      <c r="L31" s="4">
        <v>45</v>
      </c>
      <c r="M31" s="4">
        <v>179</v>
      </c>
      <c r="N31" s="4">
        <v>75</v>
      </c>
      <c r="O31" s="4" t="s">
        <v>20</v>
      </c>
    </row>
    <row r="32" spans="1:15" x14ac:dyDescent="0.25">
      <c r="A32" s="9" t="s">
        <v>154</v>
      </c>
      <c r="B32" s="10">
        <v>29</v>
      </c>
      <c r="C32" s="9" t="s">
        <v>26</v>
      </c>
      <c r="D32" s="10" t="s">
        <v>113</v>
      </c>
      <c r="E32" s="9" t="s">
        <v>125</v>
      </c>
      <c r="F32" s="10" t="s">
        <v>24</v>
      </c>
      <c r="G32" s="10">
        <v>23</v>
      </c>
      <c r="H32" s="10">
        <v>6</v>
      </c>
      <c r="I32" s="10">
        <v>3</v>
      </c>
      <c r="J32" s="10">
        <v>2</v>
      </c>
      <c r="K32" s="10">
        <v>0</v>
      </c>
      <c r="L32" s="10">
        <v>30</v>
      </c>
      <c r="M32" s="10">
        <v>195</v>
      </c>
      <c r="N32" s="10">
        <v>88</v>
      </c>
      <c r="O32" s="10" t="s">
        <v>20</v>
      </c>
    </row>
    <row r="33" spans="1:15" x14ac:dyDescent="0.25">
      <c r="A33" s="3" t="s">
        <v>155</v>
      </c>
      <c r="B33" s="4">
        <v>27</v>
      </c>
      <c r="C33" s="3" t="s">
        <v>156</v>
      </c>
      <c r="D33" s="4" t="s">
        <v>113</v>
      </c>
      <c r="E33" s="3" t="s">
        <v>157</v>
      </c>
      <c r="F33" s="4" t="s">
        <v>24</v>
      </c>
      <c r="G33" s="4">
        <v>5</v>
      </c>
      <c r="H33" s="4">
        <v>1</v>
      </c>
      <c r="I33" s="4">
        <v>0</v>
      </c>
      <c r="J33" s="4">
        <v>1</v>
      </c>
      <c r="K33" s="4">
        <v>0</v>
      </c>
      <c r="L33" s="4">
        <v>35</v>
      </c>
      <c r="M33" s="4">
        <v>190</v>
      </c>
      <c r="N33" s="4">
        <v>84</v>
      </c>
      <c r="O33" s="4" t="s">
        <v>20</v>
      </c>
    </row>
    <row r="34" spans="1:15" x14ac:dyDescent="0.25">
      <c r="A34" s="9" t="s">
        <v>158</v>
      </c>
      <c r="B34" s="10">
        <v>37</v>
      </c>
      <c r="C34" s="9" t="s">
        <v>66</v>
      </c>
      <c r="D34" s="10" t="s">
        <v>113</v>
      </c>
      <c r="E34" s="9" t="s">
        <v>159</v>
      </c>
      <c r="F34" s="10" t="s">
        <v>42</v>
      </c>
      <c r="G34" s="10">
        <v>34</v>
      </c>
      <c r="H34" s="10">
        <v>11</v>
      </c>
      <c r="I34" s="10">
        <v>9</v>
      </c>
      <c r="J34" s="10">
        <v>6</v>
      </c>
      <c r="K34" s="10">
        <v>1</v>
      </c>
      <c r="L34" s="10">
        <v>5</v>
      </c>
      <c r="M34" s="10">
        <v>176</v>
      </c>
      <c r="N34" s="10">
        <v>71</v>
      </c>
      <c r="O34" s="10" t="s">
        <v>20</v>
      </c>
    </row>
    <row r="35" spans="1:15" x14ac:dyDescent="0.25">
      <c r="A35" s="3" t="s">
        <v>160</v>
      </c>
      <c r="B35" s="4">
        <v>27</v>
      </c>
      <c r="C35" s="3" t="s">
        <v>66</v>
      </c>
      <c r="D35" s="4" t="s">
        <v>113</v>
      </c>
      <c r="E35" s="3" t="s">
        <v>153</v>
      </c>
      <c r="F35" s="4" t="s">
        <v>74</v>
      </c>
      <c r="G35" s="4">
        <v>34</v>
      </c>
      <c r="H35" s="4">
        <v>7</v>
      </c>
      <c r="I35" s="4">
        <v>7</v>
      </c>
      <c r="J35" s="4">
        <v>5</v>
      </c>
      <c r="K35" s="4">
        <v>0</v>
      </c>
      <c r="L35" s="4">
        <v>35</v>
      </c>
      <c r="M35" s="4">
        <v>181</v>
      </c>
      <c r="N35" s="4">
        <v>77</v>
      </c>
      <c r="O35" s="4" t="s">
        <v>20</v>
      </c>
    </row>
    <row r="36" spans="1:15" x14ac:dyDescent="0.25">
      <c r="A36" s="9" t="s">
        <v>161</v>
      </c>
      <c r="B36" s="10">
        <v>24</v>
      </c>
      <c r="C36" s="9" t="s">
        <v>66</v>
      </c>
      <c r="D36" s="10" t="s">
        <v>113</v>
      </c>
      <c r="E36" s="9" t="s">
        <v>150</v>
      </c>
      <c r="F36" s="10" t="s">
        <v>60</v>
      </c>
      <c r="G36" s="10">
        <v>34</v>
      </c>
      <c r="H36" s="10">
        <v>3</v>
      </c>
      <c r="I36" s="10">
        <v>1</v>
      </c>
      <c r="J36" s="10">
        <v>4</v>
      </c>
      <c r="K36" s="10">
        <v>0</v>
      </c>
      <c r="L36" s="10">
        <v>35</v>
      </c>
      <c r="M36" s="10">
        <v>188</v>
      </c>
      <c r="N36" s="10">
        <v>82</v>
      </c>
      <c r="O36" s="10" t="s">
        <v>20</v>
      </c>
    </row>
    <row r="37" spans="1:15" x14ac:dyDescent="0.25">
      <c r="A37" s="3" t="s">
        <v>162</v>
      </c>
      <c r="B37" s="4">
        <v>27</v>
      </c>
      <c r="C37" s="3" t="s">
        <v>66</v>
      </c>
      <c r="D37" s="4" t="s">
        <v>113</v>
      </c>
      <c r="E37" s="3" t="s">
        <v>150</v>
      </c>
      <c r="F37" s="4" t="s">
        <v>67</v>
      </c>
      <c r="G37" s="4">
        <v>36</v>
      </c>
      <c r="H37" s="4">
        <v>0</v>
      </c>
      <c r="I37" s="4">
        <v>0</v>
      </c>
      <c r="J37" s="4">
        <v>2</v>
      </c>
      <c r="K37" s="4">
        <v>0</v>
      </c>
      <c r="L37" s="4">
        <v>40</v>
      </c>
      <c r="M37" s="4">
        <v>189</v>
      </c>
      <c r="N37" s="4">
        <v>84</v>
      </c>
      <c r="O37" s="4" t="s">
        <v>20</v>
      </c>
    </row>
    <row r="38" spans="1:15" x14ac:dyDescent="0.25">
      <c r="A38" s="9" t="s">
        <v>163</v>
      </c>
      <c r="B38" s="10">
        <v>29</v>
      </c>
      <c r="C38" s="9" t="s">
        <v>66</v>
      </c>
      <c r="D38" s="10" t="s">
        <v>113</v>
      </c>
      <c r="E38" s="9" t="s">
        <v>164</v>
      </c>
      <c r="F38" s="10" t="s">
        <v>90</v>
      </c>
      <c r="G38" s="10">
        <v>4</v>
      </c>
      <c r="H38" s="10">
        <v>0</v>
      </c>
      <c r="I38" s="10">
        <v>1</v>
      </c>
      <c r="J38" s="10">
        <v>0</v>
      </c>
      <c r="K38" s="10">
        <v>0</v>
      </c>
      <c r="L38" s="10">
        <v>40</v>
      </c>
      <c r="M38" s="10">
        <v>168</v>
      </c>
      <c r="N38" s="10">
        <v>64</v>
      </c>
      <c r="O38" s="10" t="s">
        <v>20</v>
      </c>
    </row>
    <row r="39" spans="1:15" x14ac:dyDescent="0.25">
      <c r="A39" s="3" t="s">
        <v>165</v>
      </c>
      <c r="B39" s="4">
        <v>30</v>
      </c>
      <c r="C39" s="3" t="s">
        <v>66</v>
      </c>
      <c r="D39" s="4" t="s">
        <v>113</v>
      </c>
      <c r="E39" s="3" t="s">
        <v>125</v>
      </c>
      <c r="F39" s="4" t="s">
        <v>74</v>
      </c>
      <c r="G39" s="4">
        <v>33</v>
      </c>
      <c r="H39" s="4">
        <v>6</v>
      </c>
      <c r="I39" s="4">
        <v>8</v>
      </c>
      <c r="J39" s="4">
        <v>7</v>
      </c>
      <c r="K39" s="4">
        <v>0</v>
      </c>
      <c r="L39" s="4">
        <v>35</v>
      </c>
      <c r="M39" s="4">
        <v>184</v>
      </c>
      <c r="N39" s="4">
        <v>78</v>
      </c>
      <c r="O39" s="4" t="s">
        <v>20</v>
      </c>
    </row>
    <row r="40" spans="1:15" x14ac:dyDescent="0.25">
      <c r="A40" s="9" t="s">
        <v>166</v>
      </c>
      <c r="B40" s="10">
        <v>33</v>
      </c>
      <c r="C40" s="9" t="s">
        <v>86</v>
      </c>
      <c r="D40" s="10" t="s">
        <v>113</v>
      </c>
      <c r="E40" s="9" t="s">
        <v>125</v>
      </c>
      <c r="F40" s="10" t="s">
        <v>42</v>
      </c>
      <c r="G40" s="10">
        <v>10</v>
      </c>
      <c r="H40" s="10">
        <v>3</v>
      </c>
      <c r="I40" s="10">
        <v>2</v>
      </c>
      <c r="J40" s="10">
        <v>1</v>
      </c>
      <c r="K40" s="10">
        <v>0</v>
      </c>
      <c r="L40" s="10">
        <v>25</v>
      </c>
      <c r="M40" s="10">
        <v>176</v>
      </c>
      <c r="N40" s="10">
        <v>73</v>
      </c>
      <c r="O40" s="10" t="s">
        <v>20</v>
      </c>
    </row>
    <row r="41" spans="1:15" x14ac:dyDescent="0.25">
      <c r="A41" s="3" t="s">
        <v>167</v>
      </c>
      <c r="B41" s="4">
        <v>29</v>
      </c>
      <c r="C41" s="3" t="s">
        <v>66</v>
      </c>
      <c r="D41" s="4" t="s">
        <v>113</v>
      </c>
      <c r="E41" s="3" t="s">
        <v>125</v>
      </c>
      <c r="F41" s="4" t="s">
        <v>60</v>
      </c>
      <c r="G41" s="4">
        <v>5</v>
      </c>
      <c r="H41" s="4">
        <v>0</v>
      </c>
      <c r="I41" s="4">
        <v>0</v>
      </c>
      <c r="J41" s="4">
        <v>1</v>
      </c>
      <c r="K41" s="4">
        <v>0</v>
      </c>
      <c r="L41" s="4">
        <v>25</v>
      </c>
      <c r="M41" s="4">
        <v>186</v>
      </c>
      <c r="N41" s="4">
        <v>80</v>
      </c>
      <c r="O41" s="4" t="s">
        <v>20</v>
      </c>
    </row>
    <row r="42" spans="1:15" x14ac:dyDescent="0.25">
      <c r="A42" s="9" t="s">
        <v>168</v>
      </c>
      <c r="B42" s="10">
        <v>24</v>
      </c>
      <c r="C42" s="9" t="s">
        <v>169</v>
      </c>
      <c r="D42" s="10" t="s">
        <v>113</v>
      </c>
      <c r="E42" s="9" t="s">
        <v>170</v>
      </c>
      <c r="F42" s="10" t="s">
        <v>67</v>
      </c>
      <c r="G42" s="10">
        <v>36</v>
      </c>
      <c r="H42" s="10">
        <v>0</v>
      </c>
      <c r="I42" s="10">
        <v>0</v>
      </c>
      <c r="J42" s="10">
        <v>2</v>
      </c>
      <c r="K42" s="10">
        <v>0</v>
      </c>
      <c r="L42" s="10">
        <v>35</v>
      </c>
      <c r="M42" s="10">
        <v>198</v>
      </c>
      <c r="N42" s="10">
        <v>94</v>
      </c>
      <c r="O42" s="10" t="s">
        <v>20</v>
      </c>
    </row>
    <row r="43" spans="1:15" x14ac:dyDescent="0.25">
      <c r="A43" s="3" t="s">
        <v>171</v>
      </c>
      <c r="B43" s="4">
        <v>32</v>
      </c>
      <c r="C43" s="3" t="s">
        <v>66</v>
      </c>
      <c r="D43" s="4" t="s">
        <v>113</v>
      </c>
      <c r="E43" s="3" t="s">
        <v>117</v>
      </c>
      <c r="F43" s="4" t="s">
        <v>64</v>
      </c>
      <c r="G43" s="4">
        <v>12</v>
      </c>
      <c r="H43" s="4">
        <v>0</v>
      </c>
      <c r="I43" s="4">
        <v>1</v>
      </c>
      <c r="J43" s="4">
        <v>1</v>
      </c>
      <c r="K43" s="4">
        <v>0</v>
      </c>
      <c r="L43" s="4">
        <v>3</v>
      </c>
      <c r="M43" s="4">
        <v>170</v>
      </c>
      <c r="N43" s="4">
        <v>67</v>
      </c>
      <c r="O43" s="4" t="s">
        <v>20</v>
      </c>
    </row>
    <row r="44" spans="1:15" x14ac:dyDescent="0.25">
      <c r="A44" s="9" t="s">
        <v>172</v>
      </c>
      <c r="B44" s="10">
        <v>27</v>
      </c>
      <c r="C44" s="9" t="s">
        <v>40</v>
      </c>
      <c r="D44" s="10" t="s">
        <v>113</v>
      </c>
      <c r="E44" s="9" t="s">
        <v>114</v>
      </c>
      <c r="F44" s="10" t="s">
        <v>60</v>
      </c>
      <c r="G44" s="10">
        <v>6</v>
      </c>
      <c r="H44" s="10">
        <v>0</v>
      </c>
      <c r="I44" s="10">
        <v>0</v>
      </c>
      <c r="J44" s="10">
        <v>1</v>
      </c>
      <c r="K44" s="10">
        <v>0</v>
      </c>
      <c r="L44" s="10">
        <v>65</v>
      </c>
      <c r="M44" s="10">
        <v>186</v>
      </c>
      <c r="N44" s="10">
        <v>78</v>
      </c>
      <c r="O44" s="10" t="s">
        <v>20</v>
      </c>
    </row>
    <row r="45" spans="1:15" x14ac:dyDescent="0.25">
      <c r="A45" s="3" t="s">
        <v>173</v>
      </c>
      <c r="B45" s="4">
        <v>32</v>
      </c>
      <c r="C45" s="3" t="s">
        <v>174</v>
      </c>
      <c r="D45" s="4" t="s">
        <v>113</v>
      </c>
      <c r="E45" s="3" t="s">
        <v>114</v>
      </c>
      <c r="F45" s="4" t="s">
        <v>60</v>
      </c>
      <c r="G45" s="4">
        <v>0</v>
      </c>
      <c r="H45" s="4">
        <v>0</v>
      </c>
      <c r="I45" s="4">
        <v>0</v>
      </c>
      <c r="J45" s="4">
        <v>0</v>
      </c>
      <c r="K45" s="4">
        <v>0</v>
      </c>
      <c r="L45" s="4">
        <v>15</v>
      </c>
      <c r="M45" s="4">
        <v>180</v>
      </c>
      <c r="N45" s="4">
        <v>78</v>
      </c>
      <c r="O45" s="4" t="s">
        <v>20</v>
      </c>
    </row>
    <row r="46" spans="1:15" x14ac:dyDescent="0.25">
      <c r="A46" s="9" t="s">
        <v>175</v>
      </c>
      <c r="B46" s="10">
        <v>34</v>
      </c>
      <c r="C46" s="9" t="s">
        <v>66</v>
      </c>
      <c r="D46" s="10" t="s">
        <v>113</v>
      </c>
      <c r="E46" s="9" t="s">
        <v>114</v>
      </c>
      <c r="F46" s="10" t="s">
        <v>24</v>
      </c>
      <c r="G46" s="10">
        <v>26</v>
      </c>
      <c r="H46" s="10">
        <v>5</v>
      </c>
      <c r="I46" s="10">
        <v>3</v>
      </c>
      <c r="J46" s="10">
        <v>1</v>
      </c>
      <c r="K46" s="10">
        <v>0</v>
      </c>
      <c r="L46" s="10">
        <v>5</v>
      </c>
      <c r="M46" s="10">
        <v>191</v>
      </c>
      <c r="N46" s="10">
        <v>87</v>
      </c>
      <c r="O46" s="10" t="s">
        <v>20</v>
      </c>
    </row>
    <row r="47" spans="1:15" x14ac:dyDescent="0.25">
      <c r="A47" s="3" t="s">
        <v>176</v>
      </c>
      <c r="B47" s="4">
        <v>30</v>
      </c>
      <c r="C47" s="3" t="s">
        <v>66</v>
      </c>
      <c r="D47" s="4" t="s">
        <v>113</v>
      </c>
      <c r="E47" s="3" t="s">
        <v>177</v>
      </c>
      <c r="F47" s="4" t="s">
        <v>74</v>
      </c>
      <c r="G47" s="4">
        <v>31</v>
      </c>
      <c r="H47" s="4">
        <v>5</v>
      </c>
      <c r="I47" s="4">
        <v>6</v>
      </c>
      <c r="J47" s="4">
        <v>8</v>
      </c>
      <c r="K47" s="4">
        <v>0</v>
      </c>
      <c r="L47" s="4">
        <v>12</v>
      </c>
      <c r="M47" s="4">
        <v>181</v>
      </c>
      <c r="N47" s="4">
        <v>76</v>
      </c>
      <c r="O47" s="4" t="s">
        <v>20</v>
      </c>
    </row>
    <row r="48" spans="1:15" x14ac:dyDescent="0.25">
      <c r="A48" s="9" t="s">
        <v>178</v>
      </c>
      <c r="B48" s="10">
        <v>31</v>
      </c>
      <c r="C48" s="9" t="s">
        <v>66</v>
      </c>
      <c r="D48" s="10" t="s">
        <v>113</v>
      </c>
      <c r="E48" s="9" t="s">
        <v>177</v>
      </c>
      <c r="F48" s="10" t="s">
        <v>42</v>
      </c>
      <c r="G48" s="10">
        <v>35</v>
      </c>
      <c r="H48" s="10">
        <v>9</v>
      </c>
      <c r="I48" s="10">
        <v>7</v>
      </c>
      <c r="J48" s="10">
        <v>4</v>
      </c>
      <c r="K48" s="10">
        <v>0</v>
      </c>
      <c r="L48" s="10">
        <v>8</v>
      </c>
      <c r="M48" s="10">
        <v>178</v>
      </c>
      <c r="N48" s="10">
        <v>71</v>
      </c>
      <c r="O48" s="10" t="s">
        <v>20</v>
      </c>
    </row>
    <row r="49" spans="1:15" x14ac:dyDescent="0.25">
      <c r="A49" s="3" t="s">
        <v>179</v>
      </c>
      <c r="B49" s="4">
        <v>28</v>
      </c>
      <c r="C49" s="3" t="s">
        <v>95</v>
      </c>
      <c r="D49" s="4" t="s">
        <v>113</v>
      </c>
      <c r="E49" s="3" t="s">
        <v>177</v>
      </c>
      <c r="F49" s="4" t="s">
        <v>74</v>
      </c>
      <c r="G49" s="4">
        <v>24</v>
      </c>
      <c r="H49" s="4">
        <v>3</v>
      </c>
      <c r="I49" s="4">
        <v>4</v>
      </c>
      <c r="J49" s="4">
        <v>5</v>
      </c>
      <c r="K49" s="4">
        <v>0</v>
      </c>
      <c r="L49" s="4">
        <v>18</v>
      </c>
      <c r="M49" s="4">
        <v>177</v>
      </c>
      <c r="N49" s="4">
        <v>72</v>
      </c>
      <c r="O49" s="4" t="s">
        <v>20</v>
      </c>
    </row>
    <row r="50" spans="1:15" x14ac:dyDescent="0.25">
      <c r="A50" s="9" t="s">
        <v>180</v>
      </c>
      <c r="B50" s="10">
        <v>31</v>
      </c>
      <c r="C50" s="9" t="s">
        <v>66</v>
      </c>
      <c r="D50" s="10" t="s">
        <v>113</v>
      </c>
      <c r="E50" s="9" t="s">
        <v>177</v>
      </c>
      <c r="F50" s="10" t="s">
        <v>24</v>
      </c>
      <c r="G50" s="10">
        <v>26</v>
      </c>
      <c r="H50" s="10">
        <v>6</v>
      </c>
      <c r="I50" s="10">
        <v>3</v>
      </c>
      <c r="J50" s="10">
        <v>2</v>
      </c>
      <c r="K50" s="10">
        <v>0</v>
      </c>
      <c r="L50" s="10">
        <v>8</v>
      </c>
      <c r="M50" s="10">
        <v>191</v>
      </c>
      <c r="N50" s="10">
        <v>87</v>
      </c>
      <c r="O50" s="10" t="s">
        <v>20</v>
      </c>
    </row>
  </sheetData>
  <autoFilter ref="A1:O1" xr:uid="{00000000-0009-0000-0000-000002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9"/>
  <sheetViews>
    <sheetView workbookViewId="0">
      <pane ySplit="1" topLeftCell="A2" activePane="bottomLeft" state="frozen"/>
      <selection pane="bottomLeft"/>
    </sheetView>
  </sheetViews>
  <sheetFormatPr defaultRowHeight="15" x14ac:dyDescent="0.25"/>
  <cols>
    <col min="1" max="1" width="24" customWidth="1"/>
    <col min="2" max="2" width="7" customWidth="1"/>
    <col min="3" max="3" width="16" customWidth="1"/>
    <col min="4" max="4" width="18" customWidth="1"/>
    <col min="5" max="5" width="24" customWidth="1"/>
    <col min="6" max="6" width="10" customWidth="1"/>
    <col min="7" max="7" width="13" customWidth="1"/>
    <col min="8" max="8" width="8" customWidth="1"/>
    <col min="9" max="9" width="9" customWidth="1"/>
    <col min="10" max="10" width="13" customWidth="1"/>
    <col min="11" max="11" width="10" customWidth="1"/>
    <col min="12" max="12" width="18" customWidth="1"/>
    <col min="13" max="14" width="11" customWidth="1"/>
    <col min="15" max="15" width="10" customWidth="1"/>
  </cols>
  <sheetData>
    <row r="1" spans="1:15" ht="21.95" customHeight="1" x14ac:dyDescent="0.2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row>
    <row r="2" spans="1:15" x14ac:dyDescent="0.25">
      <c r="A2" s="12" t="s">
        <v>181</v>
      </c>
      <c r="B2" s="13">
        <v>31</v>
      </c>
      <c r="C2" s="12" t="s">
        <v>37</v>
      </c>
      <c r="D2" s="13" t="s">
        <v>182</v>
      </c>
      <c r="E2" s="12" t="s">
        <v>183</v>
      </c>
      <c r="F2" s="13" t="s">
        <v>24</v>
      </c>
      <c r="G2" s="13">
        <v>34</v>
      </c>
      <c r="H2" s="13">
        <v>26</v>
      </c>
      <c r="I2" s="13">
        <v>12</v>
      </c>
      <c r="J2" s="13">
        <v>5</v>
      </c>
      <c r="K2" s="13">
        <v>0</v>
      </c>
      <c r="L2" s="13">
        <v>90</v>
      </c>
      <c r="M2" s="13">
        <v>188</v>
      </c>
      <c r="N2" s="13">
        <v>86</v>
      </c>
      <c r="O2" s="13" t="s">
        <v>20</v>
      </c>
    </row>
    <row r="3" spans="1:15" x14ac:dyDescent="0.25">
      <c r="A3" s="3" t="s">
        <v>184</v>
      </c>
      <c r="B3" s="4">
        <v>21</v>
      </c>
      <c r="C3" s="3" t="s">
        <v>130</v>
      </c>
      <c r="D3" s="4" t="s">
        <v>182</v>
      </c>
      <c r="E3" s="3" t="s">
        <v>164</v>
      </c>
      <c r="F3" s="4" t="s">
        <v>45</v>
      </c>
      <c r="G3" s="4">
        <v>34</v>
      </c>
      <c r="H3" s="4">
        <v>18</v>
      </c>
      <c r="I3" s="4">
        <v>20</v>
      </c>
      <c r="J3" s="4">
        <v>4</v>
      </c>
      <c r="K3" s="4">
        <v>0</v>
      </c>
      <c r="L3" s="4">
        <v>150</v>
      </c>
      <c r="M3" s="4">
        <v>180</v>
      </c>
      <c r="N3" s="4">
        <v>70</v>
      </c>
      <c r="O3" s="4" t="s">
        <v>20</v>
      </c>
    </row>
    <row r="4" spans="1:15" x14ac:dyDescent="0.25">
      <c r="A4" s="12" t="s">
        <v>185</v>
      </c>
      <c r="B4" s="13">
        <v>26</v>
      </c>
      <c r="C4" s="12" t="s">
        <v>16</v>
      </c>
      <c r="D4" s="13" t="s">
        <v>182</v>
      </c>
      <c r="E4" s="12" t="s">
        <v>186</v>
      </c>
      <c r="F4" s="13" t="s">
        <v>24</v>
      </c>
      <c r="G4" s="13">
        <v>18</v>
      </c>
      <c r="H4" s="13">
        <v>15</v>
      </c>
      <c r="I4" s="13">
        <v>8</v>
      </c>
      <c r="J4" s="13">
        <v>3</v>
      </c>
      <c r="K4" s="13">
        <v>0</v>
      </c>
      <c r="L4" s="13">
        <v>65</v>
      </c>
      <c r="M4" s="13">
        <v>180</v>
      </c>
      <c r="N4" s="13">
        <v>78</v>
      </c>
      <c r="O4" s="13" t="s">
        <v>20</v>
      </c>
    </row>
    <row r="5" spans="1:15" x14ac:dyDescent="0.25">
      <c r="A5" s="3" t="s">
        <v>187</v>
      </c>
      <c r="B5" s="4">
        <v>32</v>
      </c>
      <c r="C5" s="3" t="s">
        <v>188</v>
      </c>
      <c r="D5" s="4" t="s">
        <v>182</v>
      </c>
      <c r="E5" s="3" t="s">
        <v>164</v>
      </c>
      <c r="F5" s="4" t="s">
        <v>62</v>
      </c>
      <c r="G5" s="4">
        <v>33</v>
      </c>
      <c r="H5" s="4">
        <v>6</v>
      </c>
      <c r="I5" s="4">
        <v>9</v>
      </c>
      <c r="J5" s="4">
        <v>9</v>
      </c>
      <c r="K5" s="4">
        <v>1</v>
      </c>
      <c r="L5" s="4">
        <v>20</v>
      </c>
      <c r="M5" s="4">
        <v>185</v>
      </c>
      <c r="N5" s="4">
        <v>80</v>
      </c>
      <c r="O5" s="4" t="s">
        <v>20</v>
      </c>
    </row>
    <row r="6" spans="1:15" x14ac:dyDescent="0.25">
      <c r="A6" s="12" t="s">
        <v>189</v>
      </c>
      <c r="B6" s="13">
        <v>24</v>
      </c>
      <c r="C6" s="12" t="s">
        <v>190</v>
      </c>
      <c r="D6" s="13" t="s">
        <v>182</v>
      </c>
      <c r="E6" s="12" t="s">
        <v>164</v>
      </c>
      <c r="F6" s="13" t="s">
        <v>24</v>
      </c>
      <c r="G6" s="13">
        <v>24</v>
      </c>
      <c r="H6" s="13">
        <v>14</v>
      </c>
      <c r="I6" s="13">
        <v>6</v>
      </c>
      <c r="J6" s="13">
        <v>5</v>
      </c>
      <c r="K6" s="13">
        <v>0</v>
      </c>
      <c r="L6" s="13">
        <v>55</v>
      </c>
      <c r="M6" s="13">
        <v>190</v>
      </c>
      <c r="N6" s="13">
        <v>82</v>
      </c>
      <c r="O6" s="13" t="s">
        <v>20</v>
      </c>
    </row>
    <row r="7" spans="1:15" x14ac:dyDescent="0.25">
      <c r="A7" s="3" t="s">
        <v>191</v>
      </c>
      <c r="B7" s="4">
        <v>21</v>
      </c>
      <c r="C7" s="3" t="s">
        <v>130</v>
      </c>
      <c r="D7" s="4" t="s">
        <v>182</v>
      </c>
      <c r="E7" s="3" t="s">
        <v>183</v>
      </c>
      <c r="F7" s="4" t="s">
        <v>45</v>
      </c>
      <c r="G7" s="4">
        <v>32</v>
      </c>
      <c r="H7" s="4">
        <v>15</v>
      </c>
      <c r="I7" s="4">
        <v>13</v>
      </c>
      <c r="J7" s="4">
        <v>3</v>
      </c>
      <c r="K7" s="4">
        <v>0</v>
      </c>
      <c r="L7" s="4">
        <v>150</v>
      </c>
      <c r="M7" s="4">
        <v>183</v>
      </c>
      <c r="N7" s="4">
        <v>73</v>
      </c>
      <c r="O7" s="4" t="s">
        <v>20</v>
      </c>
    </row>
    <row r="8" spans="1:15" x14ac:dyDescent="0.25">
      <c r="A8" s="12" t="s">
        <v>192</v>
      </c>
      <c r="B8" s="13">
        <v>29</v>
      </c>
      <c r="C8" s="12" t="s">
        <v>130</v>
      </c>
      <c r="D8" s="13" t="s">
        <v>182</v>
      </c>
      <c r="E8" s="12" t="s">
        <v>183</v>
      </c>
      <c r="F8" s="13" t="s">
        <v>19</v>
      </c>
      <c r="G8" s="13">
        <v>25</v>
      </c>
      <c r="H8" s="13">
        <v>7</v>
      </c>
      <c r="I8" s="13">
        <v>7</v>
      </c>
      <c r="J8" s="13">
        <v>4</v>
      </c>
      <c r="K8" s="13">
        <v>0</v>
      </c>
      <c r="L8" s="13">
        <v>45</v>
      </c>
      <c r="M8" s="13">
        <v>183</v>
      </c>
      <c r="N8" s="13">
        <v>75</v>
      </c>
      <c r="O8" s="13" t="s">
        <v>20</v>
      </c>
    </row>
    <row r="9" spans="1:15" x14ac:dyDescent="0.25">
      <c r="A9" s="3" t="s">
        <v>193</v>
      </c>
      <c r="B9" s="4">
        <v>29</v>
      </c>
      <c r="C9" s="3" t="s">
        <v>86</v>
      </c>
      <c r="D9" s="4" t="s">
        <v>182</v>
      </c>
      <c r="E9" s="3" t="s">
        <v>183</v>
      </c>
      <c r="F9" s="4" t="s">
        <v>50</v>
      </c>
      <c r="G9" s="4">
        <v>22</v>
      </c>
      <c r="H9" s="4">
        <v>5</v>
      </c>
      <c r="I9" s="4">
        <v>5</v>
      </c>
      <c r="J9" s="4">
        <v>2</v>
      </c>
      <c r="K9" s="4">
        <v>0</v>
      </c>
      <c r="L9" s="4">
        <v>30</v>
      </c>
      <c r="M9" s="4">
        <v>180</v>
      </c>
      <c r="N9" s="4">
        <v>75</v>
      </c>
      <c r="O9" s="4" t="s">
        <v>20</v>
      </c>
    </row>
    <row r="10" spans="1:15" x14ac:dyDescent="0.25">
      <c r="A10" s="12" t="s">
        <v>194</v>
      </c>
      <c r="B10" s="13">
        <v>39</v>
      </c>
      <c r="C10" s="12" t="s">
        <v>130</v>
      </c>
      <c r="D10" s="13" t="s">
        <v>182</v>
      </c>
      <c r="E10" s="12" t="s">
        <v>183</v>
      </c>
      <c r="F10" s="13" t="s">
        <v>67</v>
      </c>
      <c r="G10" s="13">
        <v>27</v>
      </c>
      <c r="H10" s="13">
        <v>0</v>
      </c>
      <c r="I10" s="13">
        <v>0</v>
      </c>
      <c r="J10" s="13">
        <v>1</v>
      </c>
      <c r="K10" s="13">
        <v>0</v>
      </c>
      <c r="L10" s="13">
        <v>10</v>
      </c>
      <c r="M10" s="13">
        <v>193</v>
      </c>
      <c r="N10" s="13">
        <v>92</v>
      </c>
      <c r="O10" s="13" t="s">
        <v>20</v>
      </c>
    </row>
    <row r="11" spans="1:15" x14ac:dyDescent="0.25">
      <c r="A11" s="3" t="s">
        <v>195</v>
      </c>
      <c r="B11" s="4">
        <v>30</v>
      </c>
      <c r="C11" s="3" t="s">
        <v>130</v>
      </c>
      <c r="D11" s="4" t="s">
        <v>182</v>
      </c>
      <c r="E11" s="3" t="s">
        <v>183</v>
      </c>
      <c r="F11" s="4" t="s">
        <v>62</v>
      </c>
      <c r="G11" s="4">
        <v>32</v>
      </c>
      <c r="H11" s="4">
        <v>3</v>
      </c>
      <c r="I11" s="4">
        <v>10</v>
      </c>
      <c r="J11" s="4">
        <v>9</v>
      </c>
      <c r="K11" s="4">
        <v>0</v>
      </c>
      <c r="L11" s="4">
        <v>60</v>
      </c>
      <c r="M11" s="4">
        <v>177</v>
      </c>
      <c r="N11" s="4">
        <v>75</v>
      </c>
      <c r="O11" s="4" t="s">
        <v>20</v>
      </c>
    </row>
    <row r="12" spans="1:15" x14ac:dyDescent="0.25">
      <c r="A12" s="12" t="s">
        <v>196</v>
      </c>
      <c r="B12" s="13">
        <v>35</v>
      </c>
      <c r="C12" s="12" t="s">
        <v>130</v>
      </c>
      <c r="D12" s="13" t="s">
        <v>182</v>
      </c>
      <c r="E12" s="12" t="s">
        <v>183</v>
      </c>
      <c r="F12" s="13" t="s">
        <v>42</v>
      </c>
      <c r="G12" s="13">
        <v>27</v>
      </c>
      <c r="H12" s="13">
        <v>2</v>
      </c>
      <c r="I12" s="13">
        <v>6</v>
      </c>
      <c r="J12" s="13">
        <v>2</v>
      </c>
      <c r="K12" s="13">
        <v>0</v>
      </c>
      <c r="L12" s="13">
        <v>8</v>
      </c>
      <c r="M12" s="13">
        <v>186</v>
      </c>
      <c r="N12" s="13">
        <v>75</v>
      </c>
      <c r="O12" s="13" t="s">
        <v>20</v>
      </c>
    </row>
    <row r="13" spans="1:15" x14ac:dyDescent="0.25">
      <c r="A13" s="3" t="s">
        <v>197</v>
      </c>
      <c r="B13" s="4">
        <v>29</v>
      </c>
      <c r="C13" s="3" t="s">
        <v>130</v>
      </c>
      <c r="D13" s="4" t="s">
        <v>182</v>
      </c>
      <c r="E13" s="3" t="s">
        <v>183</v>
      </c>
      <c r="F13" s="4" t="s">
        <v>19</v>
      </c>
      <c r="G13" s="4">
        <v>22</v>
      </c>
      <c r="H13" s="4">
        <v>6</v>
      </c>
      <c r="I13" s="4">
        <v>4</v>
      </c>
      <c r="J13" s="4">
        <v>1</v>
      </c>
      <c r="K13" s="4">
        <v>0</v>
      </c>
      <c r="L13" s="4">
        <v>25</v>
      </c>
      <c r="M13" s="4">
        <v>175</v>
      </c>
      <c r="N13" s="4">
        <v>76</v>
      </c>
      <c r="O13" s="4" t="s">
        <v>20</v>
      </c>
    </row>
    <row r="14" spans="1:15" x14ac:dyDescent="0.25">
      <c r="A14" s="12" t="s">
        <v>198</v>
      </c>
      <c r="B14" s="13">
        <v>24</v>
      </c>
      <c r="C14" s="12" t="s">
        <v>199</v>
      </c>
      <c r="D14" s="13" t="s">
        <v>182</v>
      </c>
      <c r="E14" s="12" t="s">
        <v>183</v>
      </c>
      <c r="F14" s="13" t="s">
        <v>90</v>
      </c>
      <c r="G14" s="13">
        <v>27</v>
      </c>
      <c r="H14" s="13">
        <v>1</v>
      </c>
      <c r="I14" s="13">
        <v>7</v>
      </c>
      <c r="J14" s="13">
        <v>4</v>
      </c>
      <c r="K14" s="13">
        <v>0</v>
      </c>
      <c r="L14" s="13">
        <v>65</v>
      </c>
      <c r="M14" s="13">
        <v>183</v>
      </c>
      <c r="N14" s="13">
        <v>76</v>
      </c>
      <c r="O14" s="13" t="s">
        <v>20</v>
      </c>
    </row>
    <row r="15" spans="1:15" x14ac:dyDescent="0.25">
      <c r="A15" s="3" t="s">
        <v>200</v>
      </c>
      <c r="B15" s="4">
        <v>26</v>
      </c>
      <c r="C15" s="3" t="s">
        <v>86</v>
      </c>
      <c r="D15" s="4" t="s">
        <v>182</v>
      </c>
      <c r="E15" s="3" t="s">
        <v>183</v>
      </c>
      <c r="F15" s="4" t="s">
        <v>60</v>
      </c>
      <c r="G15" s="4">
        <v>29</v>
      </c>
      <c r="H15" s="4">
        <v>1</v>
      </c>
      <c r="I15" s="4">
        <v>1</v>
      </c>
      <c r="J15" s="4">
        <v>7</v>
      </c>
      <c r="K15" s="4">
        <v>0</v>
      </c>
      <c r="L15" s="4">
        <v>45</v>
      </c>
      <c r="M15" s="4">
        <v>186</v>
      </c>
      <c r="N15" s="4">
        <v>82</v>
      </c>
      <c r="O15" s="4" t="s">
        <v>20</v>
      </c>
    </row>
    <row r="16" spans="1:15" x14ac:dyDescent="0.25">
      <c r="A16" s="12" t="s">
        <v>201</v>
      </c>
      <c r="B16" s="13">
        <v>28</v>
      </c>
      <c r="C16" s="12" t="s">
        <v>54</v>
      </c>
      <c r="D16" s="13" t="s">
        <v>182</v>
      </c>
      <c r="E16" s="12" t="s">
        <v>183</v>
      </c>
      <c r="F16" s="13" t="s">
        <v>60</v>
      </c>
      <c r="G16" s="13">
        <v>30</v>
      </c>
      <c r="H16" s="13">
        <v>2</v>
      </c>
      <c r="I16" s="13">
        <v>1</v>
      </c>
      <c r="J16" s="13">
        <v>5</v>
      </c>
      <c r="K16" s="13">
        <v>0</v>
      </c>
      <c r="L16" s="13">
        <v>55</v>
      </c>
      <c r="M16" s="13">
        <v>190</v>
      </c>
      <c r="N16" s="13">
        <v>87</v>
      </c>
      <c r="O16" s="13" t="s">
        <v>20</v>
      </c>
    </row>
    <row r="17" spans="1:15" x14ac:dyDescent="0.25">
      <c r="A17" s="3" t="s">
        <v>202</v>
      </c>
      <c r="B17" s="4">
        <v>27</v>
      </c>
      <c r="C17" s="3" t="s">
        <v>174</v>
      </c>
      <c r="D17" s="4" t="s">
        <v>182</v>
      </c>
      <c r="E17" s="3" t="s">
        <v>183</v>
      </c>
      <c r="F17" s="4" t="s">
        <v>74</v>
      </c>
      <c r="G17" s="4">
        <v>31</v>
      </c>
      <c r="H17" s="4">
        <v>3</v>
      </c>
      <c r="I17" s="4">
        <v>5</v>
      </c>
      <c r="J17" s="4">
        <v>7</v>
      </c>
      <c r="K17" s="4">
        <v>0</v>
      </c>
      <c r="L17" s="4">
        <v>30</v>
      </c>
      <c r="M17" s="4">
        <v>174</v>
      </c>
      <c r="N17" s="4">
        <v>72</v>
      </c>
      <c r="O17" s="4" t="s">
        <v>20</v>
      </c>
    </row>
    <row r="18" spans="1:15" x14ac:dyDescent="0.25">
      <c r="A18" s="12" t="s">
        <v>203</v>
      </c>
      <c r="B18" s="13">
        <v>30</v>
      </c>
      <c r="C18" s="12" t="s">
        <v>52</v>
      </c>
      <c r="D18" s="13" t="s">
        <v>182</v>
      </c>
      <c r="E18" s="12" t="s">
        <v>183</v>
      </c>
      <c r="F18" s="13" t="s">
        <v>90</v>
      </c>
      <c r="G18" s="13">
        <v>20</v>
      </c>
      <c r="H18" s="13">
        <v>2</v>
      </c>
      <c r="I18" s="13">
        <v>4</v>
      </c>
      <c r="J18" s="13">
        <v>2</v>
      </c>
      <c r="K18" s="13">
        <v>0</v>
      </c>
      <c r="L18" s="13">
        <v>20</v>
      </c>
      <c r="M18" s="13">
        <v>170</v>
      </c>
      <c r="N18" s="13">
        <v>64</v>
      </c>
      <c r="O18" s="13" t="s">
        <v>20</v>
      </c>
    </row>
    <row r="19" spans="1:15" x14ac:dyDescent="0.25">
      <c r="A19" s="3" t="s">
        <v>204</v>
      </c>
      <c r="B19" s="4">
        <v>27</v>
      </c>
      <c r="C19" s="3" t="s">
        <v>205</v>
      </c>
      <c r="D19" s="4" t="s">
        <v>182</v>
      </c>
      <c r="E19" s="3" t="s">
        <v>183</v>
      </c>
      <c r="F19" s="4" t="s">
        <v>64</v>
      </c>
      <c r="G19" s="4">
        <v>16</v>
      </c>
      <c r="H19" s="4">
        <v>1</v>
      </c>
      <c r="I19" s="4">
        <v>2</v>
      </c>
      <c r="J19" s="4">
        <v>3</v>
      </c>
      <c r="K19" s="4">
        <v>0</v>
      </c>
      <c r="L19" s="4">
        <v>30</v>
      </c>
      <c r="M19" s="4">
        <v>181</v>
      </c>
      <c r="N19" s="4">
        <v>77</v>
      </c>
      <c r="O19" s="4" t="s">
        <v>20</v>
      </c>
    </row>
    <row r="20" spans="1:15" x14ac:dyDescent="0.25">
      <c r="A20" s="12" t="s">
        <v>206</v>
      </c>
      <c r="B20" s="13">
        <v>28</v>
      </c>
      <c r="C20" s="12" t="s">
        <v>207</v>
      </c>
      <c r="D20" s="13" t="s">
        <v>182</v>
      </c>
      <c r="E20" s="12" t="s">
        <v>208</v>
      </c>
      <c r="F20" s="13" t="s">
        <v>24</v>
      </c>
      <c r="G20" s="13">
        <v>27</v>
      </c>
      <c r="H20" s="13">
        <v>15</v>
      </c>
      <c r="I20" s="13">
        <v>5</v>
      </c>
      <c r="J20" s="13">
        <v>3</v>
      </c>
      <c r="K20" s="13">
        <v>0</v>
      </c>
      <c r="L20" s="13">
        <v>45</v>
      </c>
      <c r="M20" s="13">
        <v>187</v>
      </c>
      <c r="N20" s="13">
        <v>83</v>
      </c>
      <c r="O20" s="13" t="s">
        <v>20</v>
      </c>
    </row>
    <row r="21" spans="1:15" x14ac:dyDescent="0.25">
      <c r="A21" s="3" t="s">
        <v>209</v>
      </c>
      <c r="B21" s="4">
        <v>23</v>
      </c>
      <c r="C21" s="3" t="s">
        <v>130</v>
      </c>
      <c r="D21" s="4" t="s">
        <v>182</v>
      </c>
      <c r="E21" s="3" t="s">
        <v>208</v>
      </c>
      <c r="F21" s="4" t="s">
        <v>50</v>
      </c>
      <c r="G21" s="4">
        <v>26</v>
      </c>
      <c r="H21" s="4">
        <v>8</v>
      </c>
      <c r="I21" s="4">
        <v>6</v>
      </c>
      <c r="J21" s="4">
        <v>4</v>
      </c>
      <c r="K21" s="4">
        <v>0</v>
      </c>
      <c r="L21" s="4">
        <v>40</v>
      </c>
      <c r="M21" s="4">
        <v>180</v>
      </c>
      <c r="N21" s="4">
        <v>72</v>
      </c>
      <c r="O21" s="4" t="s">
        <v>20</v>
      </c>
    </row>
    <row r="22" spans="1:15" x14ac:dyDescent="0.25">
      <c r="A22" s="12" t="s">
        <v>210</v>
      </c>
      <c r="B22" s="13">
        <v>28</v>
      </c>
      <c r="C22" s="12" t="s">
        <v>130</v>
      </c>
      <c r="D22" s="13" t="s">
        <v>182</v>
      </c>
      <c r="E22" s="12" t="s">
        <v>208</v>
      </c>
      <c r="F22" s="13" t="s">
        <v>45</v>
      </c>
      <c r="G22" s="13">
        <v>31</v>
      </c>
      <c r="H22" s="13">
        <v>7</v>
      </c>
      <c r="I22" s="13">
        <v>10</v>
      </c>
      <c r="J22" s="13">
        <v>3</v>
      </c>
      <c r="K22" s="13">
        <v>0</v>
      </c>
      <c r="L22" s="13">
        <v>30</v>
      </c>
      <c r="M22" s="13">
        <v>185</v>
      </c>
      <c r="N22" s="13">
        <v>79</v>
      </c>
      <c r="O22" s="13" t="s">
        <v>20</v>
      </c>
    </row>
    <row r="23" spans="1:15" x14ac:dyDescent="0.25">
      <c r="A23" s="3" t="s">
        <v>211</v>
      </c>
      <c r="B23" s="4">
        <v>31</v>
      </c>
      <c r="C23" s="3" t="s">
        <v>130</v>
      </c>
      <c r="D23" s="4" t="s">
        <v>182</v>
      </c>
      <c r="E23" s="3" t="s">
        <v>208</v>
      </c>
      <c r="F23" s="4" t="s">
        <v>62</v>
      </c>
      <c r="G23" s="4">
        <v>31</v>
      </c>
      <c r="H23" s="4">
        <v>4</v>
      </c>
      <c r="I23" s="4">
        <v>3</v>
      </c>
      <c r="J23" s="4">
        <v>9</v>
      </c>
      <c r="K23" s="4">
        <v>1</v>
      </c>
      <c r="L23" s="4">
        <v>10</v>
      </c>
      <c r="M23" s="4">
        <v>186</v>
      </c>
      <c r="N23" s="4">
        <v>82</v>
      </c>
      <c r="O23" s="4" t="s">
        <v>20</v>
      </c>
    </row>
    <row r="24" spans="1:15" x14ac:dyDescent="0.25">
      <c r="A24" s="12" t="s">
        <v>212</v>
      </c>
      <c r="B24" s="13">
        <v>31</v>
      </c>
      <c r="C24" s="12" t="s">
        <v>174</v>
      </c>
      <c r="D24" s="13" t="s">
        <v>182</v>
      </c>
      <c r="E24" s="12" t="s">
        <v>208</v>
      </c>
      <c r="F24" s="13" t="s">
        <v>74</v>
      </c>
      <c r="G24" s="13">
        <v>29</v>
      </c>
      <c r="H24" s="13">
        <v>5</v>
      </c>
      <c r="I24" s="13">
        <v>6</v>
      </c>
      <c r="J24" s="13">
        <v>6</v>
      </c>
      <c r="K24" s="13">
        <v>0</v>
      </c>
      <c r="L24" s="13">
        <v>18</v>
      </c>
      <c r="M24" s="13">
        <v>177</v>
      </c>
      <c r="N24" s="13">
        <v>73</v>
      </c>
      <c r="O24" s="13" t="s">
        <v>20</v>
      </c>
    </row>
    <row r="25" spans="1:15" x14ac:dyDescent="0.25">
      <c r="A25" s="3" t="s">
        <v>213</v>
      </c>
      <c r="B25" s="4">
        <v>27</v>
      </c>
      <c r="C25" s="3" t="s">
        <v>188</v>
      </c>
      <c r="D25" s="4" t="s">
        <v>182</v>
      </c>
      <c r="E25" s="3" t="s">
        <v>208</v>
      </c>
      <c r="F25" s="4" t="s">
        <v>67</v>
      </c>
      <c r="G25" s="4">
        <v>32</v>
      </c>
      <c r="H25" s="4">
        <v>0</v>
      </c>
      <c r="I25" s="4">
        <v>0</v>
      </c>
      <c r="J25" s="4">
        <v>2</v>
      </c>
      <c r="K25" s="4">
        <v>0</v>
      </c>
      <c r="L25" s="4">
        <v>30</v>
      </c>
      <c r="M25" s="4">
        <v>194</v>
      </c>
      <c r="N25" s="4">
        <v>90</v>
      </c>
      <c r="O25" s="4" t="s">
        <v>20</v>
      </c>
    </row>
    <row r="26" spans="1:15" x14ac:dyDescent="0.25">
      <c r="A26" s="12" t="s">
        <v>214</v>
      </c>
      <c r="B26" s="13">
        <v>36</v>
      </c>
      <c r="C26" s="12" t="s">
        <v>130</v>
      </c>
      <c r="D26" s="13" t="s">
        <v>182</v>
      </c>
      <c r="E26" s="12" t="s">
        <v>208</v>
      </c>
      <c r="F26" s="13" t="s">
        <v>60</v>
      </c>
      <c r="G26" s="13">
        <v>7</v>
      </c>
      <c r="H26" s="13">
        <v>0</v>
      </c>
      <c r="I26" s="13">
        <v>0</v>
      </c>
      <c r="J26" s="13">
        <v>2</v>
      </c>
      <c r="K26" s="13">
        <v>0</v>
      </c>
      <c r="L26" s="13">
        <v>3</v>
      </c>
      <c r="M26" s="13">
        <v>191</v>
      </c>
      <c r="N26" s="13">
        <v>92</v>
      </c>
      <c r="O26" s="13" t="s">
        <v>20</v>
      </c>
    </row>
    <row r="27" spans="1:15" x14ac:dyDescent="0.25">
      <c r="A27" s="3" t="s">
        <v>215</v>
      </c>
      <c r="B27" s="4">
        <v>25</v>
      </c>
      <c r="C27" s="3" t="s">
        <v>130</v>
      </c>
      <c r="D27" s="4" t="s">
        <v>182</v>
      </c>
      <c r="E27" s="3" t="s">
        <v>208</v>
      </c>
      <c r="F27" s="4" t="s">
        <v>60</v>
      </c>
      <c r="G27" s="4">
        <v>26</v>
      </c>
      <c r="H27" s="4">
        <v>2</v>
      </c>
      <c r="I27" s="4">
        <v>1</v>
      </c>
      <c r="J27" s="4">
        <v>7</v>
      </c>
      <c r="K27" s="4">
        <v>0</v>
      </c>
      <c r="L27" s="4">
        <v>35</v>
      </c>
      <c r="M27" s="4">
        <v>192</v>
      </c>
      <c r="N27" s="4">
        <v>83</v>
      </c>
      <c r="O27" s="4" t="s">
        <v>20</v>
      </c>
    </row>
    <row r="28" spans="1:15" x14ac:dyDescent="0.25">
      <c r="A28" s="12" t="s">
        <v>216</v>
      </c>
      <c r="B28" s="13">
        <v>29</v>
      </c>
      <c r="C28" s="12" t="s">
        <v>217</v>
      </c>
      <c r="D28" s="13" t="s">
        <v>182</v>
      </c>
      <c r="E28" s="12" t="s">
        <v>208</v>
      </c>
      <c r="F28" s="13" t="s">
        <v>90</v>
      </c>
      <c r="G28" s="13">
        <v>25</v>
      </c>
      <c r="H28" s="13">
        <v>2</v>
      </c>
      <c r="I28" s="13">
        <v>3</v>
      </c>
      <c r="J28" s="13">
        <v>5</v>
      </c>
      <c r="K28" s="13">
        <v>0</v>
      </c>
      <c r="L28" s="13">
        <v>15</v>
      </c>
      <c r="M28" s="13">
        <v>183</v>
      </c>
      <c r="N28" s="13">
        <v>77</v>
      </c>
      <c r="O28" s="13" t="s">
        <v>20</v>
      </c>
    </row>
    <row r="29" spans="1:15" x14ac:dyDescent="0.25">
      <c r="A29" s="3" t="s">
        <v>163</v>
      </c>
      <c r="B29" s="4">
        <v>29</v>
      </c>
      <c r="C29" s="3" t="s">
        <v>66</v>
      </c>
      <c r="D29" s="4" t="s">
        <v>182</v>
      </c>
      <c r="E29" s="3" t="s">
        <v>164</v>
      </c>
      <c r="F29" s="4" t="s">
        <v>90</v>
      </c>
      <c r="G29" s="4">
        <v>33</v>
      </c>
      <c r="H29" s="4">
        <v>5</v>
      </c>
      <c r="I29" s="4">
        <v>12</v>
      </c>
      <c r="J29" s="4">
        <v>5</v>
      </c>
      <c r="K29" s="4">
        <v>0</v>
      </c>
      <c r="L29" s="4">
        <v>40</v>
      </c>
      <c r="M29" s="4">
        <v>168</v>
      </c>
      <c r="N29" s="4">
        <v>64</v>
      </c>
      <c r="O29" s="4" t="s">
        <v>20</v>
      </c>
    </row>
    <row r="30" spans="1:15" x14ac:dyDescent="0.25">
      <c r="A30" s="12" t="s">
        <v>218</v>
      </c>
      <c r="B30" s="13">
        <v>32</v>
      </c>
      <c r="C30" s="12" t="s">
        <v>130</v>
      </c>
      <c r="D30" s="13" t="s">
        <v>182</v>
      </c>
      <c r="E30" s="12" t="s">
        <v>164</v>
      </c>
      <c r="F30" s="13" t="s">
        <v>19</v>
      </c>
      <c r="G30" s="13">
        <v>28</v>
      </c>
      <c r="H30" s="13">
        <v>5</v>
      </c>
      <c r="I30" s="13">
        <v>8</v>
      </c>
      <c r="J30" s="13">
        <v>3</v>
      </c>
      <c r="K30" s="13">
        <v>0</v>
      </c>
      <c r="L30" s="13">
        <v>20</v>
      </c>
      <c r="M30" s="13">
        <v>176</v>
      </c>
      <c r="N30" s="13">
        <v>72</v>
      </c>
      <c r="O30" s="13" t="s">
        <v>20</v>
      </c>
    </row>
    <row r="31" spans="1:15" x14ac:dyDescent="0.25">
      <c r="A31" s="3" t="s">
        <v>219</v>
      </c>
      <c r="B31" s="4">
        <v>35</v>
      </c>
      <c r="C31" s="3" t="s">
        <v>220</v>
      </c>
      <c r="D31" s="4" t="s">
        <v>182</v>
      </c>
      <c r="E31" s="3" t="s">
        <v>164</v>
      </c>
      <c r="F31" s="4" t="s">
        <v>67</v>
      </c>
      <c r="G31" s="4">
        <v>34</v>
      </c>
      <c r="H31" s="4">
        <v>0</v>
      </c>
      <c r="I31" s="4">
        <v>0</v>
      </c>
      <c r="J31" s="4">
        <v>3</v>
      </c>
      <c r="K31" s="4">
        <v>0</v>
      </c>
      <c r="L31" s="4">
        <v>8</v>
      </c>
      <c r="M31" s="4">
        <v>188</v>
      </c>
      <c r="N31" s="4">
        <v>84</v>
      </c>
      <c r="O31" s="4" t="s">
        <v>20</v>
      </c>
    </row>
    <row r="32" spans="1:15" x14ac:dyDescent="0.25">
      <c r="A32" s="12" t="s">
        <v>221</v>
      </c>
      <c r="B32" s="13">
        <v>29</v>
      </c>
      <c r="C32" s="12" t="s">
        <v>222</v>
      </c>
      <c r="D32" s="13" t="s">
        <v>182</v>
      </c>
      <c r="E32" s="12" t="s">
        <v>164</v>
      </c>
      <c r="F32" s="13" t="s">
        <v>24</v>
      </c>
      <c r="G32" s="13">
        <v>20</v>
      </c>
      <c r="H32" s="13">
        <v>8</v>
      </c>
      <c r="I32" s="13">
        <v>3</v>
      </c>
      <c r="J32" s="13">
        <v>2</v>
      </c>
      <c r="K32" s="13">
        <v>0</v>
      </c>
      <c r="L32" s="13">
        <v>25</v>
      </c>
      <c r="M32" s="13">
        <v>191</v>
      </c>
      <c r="N32" s="13">
        <v>86</v>
      </c>
      <c r="O32" s="13" t="s">
        <v>20</v>
      </c>
    </row>
    <row r="33" spans="1:15" x14ac:dyDescent="0.25">
      <c r="A33" s="3" t="s">
        <v>223</v>
      </c>
      <c r="B33" s="4">
        <v>26</v>
      </c>
      <c r="C33" s="3" t="s">
        <v>95</v>
      </c>
      <c r="D33" s="4" t="s">
        <v>182</v>
      </c>
      <c r="E33" s="3" t="s">
        <v>164</v>
      </c>
      <c r="F33" s="4" t="s">
        <v>74</v>
      </c>
      <c r="G33" s="4">
        <v>29</v>
      </c>
      <c r="H33" s="4">
        <v>4</v>
      </c>
      <c r="I33" s="4">
        <v>6</v>
      </c>
      <c r="J33" s="4">
        <v>6</v>
      </c>
      <c r="K33" s="4">
        <v>0</v>
      </c>
      <c r="L33" s="4">
        <v>30</v>
      </c>
      <c r="M33" s="4">
        <v>180</v>
      </c>
      <c r="N33" s="4">
        <v>78</v>
      </c>
      <c r="O33" s="4" t="s">
        <v>20</v>
      </c>
    </row>
    <row r="34" spans="1:15" x14ac:dyDescent="0.25">
      <c r="A34" s="12" t="s">
        <v>224</v>
      </c>
      <c r="B34" s="13">
        <v>28</v>
      </c>
      <c r="C34" s="12" t="s">
        <v>130</v>
      </c>
      <c r="D34" s="13" t="s">
        <v>182</v>
      </c>
      <c r="E34" s="12" t="s">
        <v>164</v>
      </c>
      <c r="F34" s="13" t="s">
        <v>60</v>
      </c>
      <c r="G34" s="13">
        <v>33</v>
      </c>
      <c r="H34" s="13">
        <v>2</v>
      </c>
      <c r="I34" s="13">
        <v>1</v>
      </c>
      <c r="J34" s="13">
        <v>4</v>
      </c>
      <c r="K34" s="13">
        <v>0</v>
      </c>
      <c r="L34" s="13">
        <v>35</v>
      </c>
      <c r="M34" s="13">
        <v>195</v>
      </c>
      <c r="N34" s="13">
        <v>94</v>
      </c>
      <c r="O34" s="13" t="s">
        <v>20</v>
      </c>
    </row>
    <row r="35" spans="1:15" x14ac:dyDescent="0.25">
      <c r="A35" s="3" t="s">
        <v>225</v>
      </c>
      <c r="B35" s="4">
        <v>30</v>
      </c>
      <c r="C35" s="3" t="s">
        <v>130</v>
      </c>
      <c r="D35" s="4" t="s">
        <v>182</v>
      </c>
      <c r="E35" s="3" t="s">
        <v>164</v>
      </c>
      <c r="F35" s="4" t="s">
        <v>62</v>
      </c>
      <c r="G35" s="4">
        <v>33</v>
      </c>
      <c r="H35" s="4">
        <v>3</v>
      </c>
      <c r="I35" s="4">
        <v>5</v>
      </c>
      <c r="J35" s="4">
        <v>9</v>
      </c>
      <c r="K35" s="4">
        <v>1</v>
      </c>
      <c r="L35" s="4">
        <v>20</v>
      </c>
      <c r="M35" s="4">
        <v>187</v>
      </c>
      <c r="N35" s="4">
        <v>81</v>
      </c>
      <c r="O35" s="4" t="s">
        <v>20</v>
      </c>
    </row>
    <row r="36" spans="1:15" x14ac:dyDescent="0.25">
      <c r="A36" s="12" t="s">
        <v>226</v>
      </c>
      <c r="B36" s="13">
        <v>43</v>
      </c>
      <c r="C36" s="12" t="s">
        <v>66</v>
      </c>
      <c r="D36" s="13" t="s">
        <v>182</v>
      </c>
      <c r="E36" s="12" t="s">
        <v>164</v>
      </c>
      <c r="F36" s="13" t="s">
        <v>74</v>
      </c>
      <c r="G36" s="13">
        <v>0</v>
      </c>
      <c r="H36" s="13">
        <v>0</v>
      </c>
      <c r="I36" s="13">
        <v>0</v>
      </c>
      <c r="J36" s="13">
        <v>0</v>
      </c>
      <c r="K36" s="13">
        <v>0</v>
      </c>
      <c r="L36" s="13">
        <v>0</v>
      </c>
      <c r="M36" s="13">
        <v>181</v>
      </c>
      <c r="N36" s="13">
        <v>78</v>
      </c>
      <c r="O36" s="13" t="s">
        <v>20</v>
      </c>
    </row>
    <row r="37" spans="1:15" x14ac:dyDescent="0.25">
      <c r="A37" s="3" t="s">
        <v>227</v>
      </c>
      <c r="B37" s="4">
        <v>27</v>
      </c>
      <c r="C37" s="3" t="s">
        <v>86</v>
      </c>
      <c r="D37" s="4" t="s">
        <v>182</v>
      </c>
      <c r="E37" s="3" t="s">
        <v>228</v>
      </c>
      <c r="F37" s="4" t="s">
        <v>42</v>
      </c>
      <c r="G37" s="4">
        <v>10</v>
      </c>
      <c r="H37" s="4">
        <v>3</v>
      </c>
      <c r="I37" s="4">
        <v>2</v>
      </c>
      <c r="J37" s="4">
        <v>1</v>
      </c>
      <c r="K37" s="4">
        <v>0</v>
      </c>
      <c r="L37" s="4">
        <v>40</v>
      </c>
      <c r="M37" s="4">
        <v>175</v>
      </c>
      <c r="N37" s="4">
        <v>73</v>
      </c>
      <c r="O37" s="4" t="s">
        <v>20</v>
      </c>
    </row>
    <row r="38" spans="1:15" x14ac:dyDescent="0.25">
      <c r="A38" s="12" t="s">
        <v>229</v>
      </c>
      <c r="B38" s="13">
        <v>24</v>
      </c>
      <c r="C38" s="12" t="s">
        <v>71</v>
      </c>
      <c r="D38" s="13" t="s">
        <v>182</v>
      </c>
      <c r="E38" s="12" t="s">
        <v>228</v>
      </c>
      <c r="F38" s="13" t="s">
        <v>24</v>
      </c>
      <c r="G38" s="13">
        <v>31</v>
      </c>
      <c r="H38" s="13">
        <v>15</v>
      </c>
      <c r="I38" s="13">
        <v>5</v>
      </c>
      <c r="J38" s="13">
        <v>3</v>
      </c>
      <c r="K38" s="13">
        <v>0</v>
      </c>
      <c r="L38" s="13">
        <v>55</v>
      </c>
      <c r="M38" s="13">
        <v>176</v>
      </c>
      <c r="N38" s="13">
        <v>72</v>
      </c>
      <c r="O38" s="13" t="s">
        <v>20</v>
      </c>
    </row>
    <row r="39" spans="1:15" x14ac:dyDescent="0.25">
      <c r="A39" s="3" t="s">
        <v>230</v>
      </c>
      <c r="B39" s="4">
        <v>22</v>
      </c>
      <c r="C39" s="3" t="s">
        <v>59</v>
      </c>
      <c r="D39" s="4" t="s">
        <v>182</v>
      </c>
      <c r="E39" s="3" t="s">
        <v>228</v>
      </c>
      <c r="F39" s="4" t="s">
        <v>45</v>
      </c>
      <c r="G39" s="4">
        <v>34</v>
      </c>
      <c r="H39" s="4">
        <v>10</v>
      </c>
      <c r="I39" s="4">
        <v>12</v>
      </c>
      <c r="J39" s="4">
        <v>5</v>
      </c>
      <c r="K39" s="4">
        <v>0</v>
      </c>
      <c r="L39" s="4">
        <v>100</v>
      </c>
      <c r="M39" s="4">
        <v>173</v>
      </c>
      <c r="N39" s="4">
        <v>67</v>
      </c>
      <c r="O39" s="4" t="s">
        <v>20</v>
      </c>
    </row>
    <row r="40" spans="1:15" x14ac:dyDescent="0.25">
      <c r="A40" s="12" t="s">
        <v>231</v>
      </c>
      <c r="B40" s="13">
        <v>21</v>
      </c>
      <c r="C40" s="12" t="s">
        <v>134</v>
      </c>
      <c r="D40" s="13" t="s">
        <v>182</v>
      </c>
      <c r="E40" s="12" t="s">
        <v>228</v>
      </c>
      <c r="F40" s="13" t="s">
        <v>24</v>
      </c>
      <c r="G40" s="13">
        <v>32</v>
      </c>
      <c r="H40" s="13">
        <v>18</v>
      </c>
      <c r="I40" s="13">
        <v>5</v>
      </c>
      <c r="J40" s="13">
        <v>2</v>
      </c>
      <c r="K40" s="13">
        <v>0</v>
      </c>
      <c r="L40" s="13">
        <v>80</v>
      </c>
      <c r="M40" s="13">
        <v>195</v>
      </c>
      <c r="N40" s="13">
        <v>86</v>
      </c>
      <c r="O40" s="13" t="s">
        <v>20</v>
      </c>
    </row>
    <row r="41" spans="1:15" x14ac:dyDescent="0.25">
      <c r="A41" s="3" t="s">
        <v>232</v>
      </c>
      <c r="B41" s="4">
        <v>34</v>
      </c>
      <c r="C41" s="3" t="s">
        <v>233</v>
      </c>
      <c r="D41" s="4" t="s">
        <v>182</v>
      </c>
      <c r="E41" s="3" t="s">
        <v>228</v>
      </c>
      <c r="F41" s="4" t="s">
        <v>67</v>
      </c>
      <c r="G41" s="4">
        <v>28</v>
      </c>
      <c r="H41" s="4">
        <v>0</v>
      </c>
      <c r="I41" s="4">
        <v>0</v>
      </c>
      <c r="J41" s="4">
        <v>1</v>
      </c>
      <c r="K41" s="4">
        <v>0</v>
      </c>
      <c r="L41" s="4">
        <v>8</v>
      </c>
      <c r="M41" s="4">
        <v>190</v>
      </c>
      <c r="N41" s="4">
        <v>83</v>
      </c>
      <c r="O41" s="4" t="s">
        <v>20</v>
      </c>
    </row>
    <row r="42" spans="1:15" x14ac:dyDescent="0.25">
      <c r="A42" s="12" t="s">
        <v>234</v>
      </c>
      <c r="B42" s="13">
        <v>32</v>
      </c>
      <c r="C42" s="12" t="s">
        <v>233</v>
      </c>
      <c r="D42" s="13" t="s">
        <v>182</v>
      </c>
      <c r="E42" s="12" t="s">
        <v>228</v>
      </c>
      <c r="F42" s="13" t="s">
        <v>60</v>
      </c>
      <c r="G42" s="13">
        <v>30</v>
      </c>
      <c r="H42" s="13">
        <v>2</v>
      </c>
      <c r="I42" s="13">
        <v>1</v>
      </c>
      <c r="J42" s="13">
        <v>5</v>
      </c>
      <c r="K42" s="13">
        <v>0</v>
      </c>
      <c r="L42" s="13">
        <v>8</v>
      </c>
      <c r="M42" s="13">
        <v>185</v>
      </c>
      <c r="N42" s="13">
        <v>79</v>
      </c>
      <c r="O42" s="13" t="s">
        <v>20</v>
      </c>
    </row>
    <row r="43" spans="1:15" x14ac:dyDescent="0.25">
      <c r="A43" s="3" t="s">
        <v>235</v>
      </c>
      <c r="B43" s="4">
        <v>33</v>
      </c>
      <c r="C43" s="3" t="s">
        <v>134</v>
      </c>
      <c r="D43" s="4" t="s">
        <v>182</v>
      </c>
      <c r="E43" s="3" t="s">
        <v>228</v>
      </c>
      <c r="F43" s="4" t="s">
        <v>74</v>
      </c>
      <c r="G43" s="4">
        <v>26</v>
      </c>
      <c r="H43" s="4">
        <v>1</v>
      </c>
      <c r="I43" s="4">
        <v>4</v>
      </c>
      <c r="J43" s="4">
        <v>6</v>
      </c>
      <c r="K43" s="4">
        <v>0</v>
      </c>
      <c r="L43" s="4">
        <v>6</v>
      </c>
      <c r="M43" s="4">
        <v>179</v>
      </c>
      <c r="N43" s="4">
        <v>75</v>
      </c>
      <c r="O43" s="4" t="s">
        <v>20</v>
      </c>
    </row>
    <row r="44" spans="1:15" x14ac:dyDescent="0.25">
      <c r="A44" s="12" t="s">
        <v>236</v>
      </c>
      <c r="B44" s="13">
        <v>25</v>
      </c>
      <c r="C44" s="12" t="s">
        <v>174</v>
      </c>
      <c r="D44" s="13" t="s">
        <v>182</v>
      </c>
      <c r="E44" s="12" t="s">
        <v>228</v>
      </c>
      <c r="F44" s="13" t="s">
        <v>45</v>
      </c>
      <c r="G44" s="13">
        <v>30</v>
      </c>
      <c r="H44" s="13">
        <v>6</v>
      </c>
      <c r="I44" s="13">
        <v>7</v>
      </c>
      <c r="J44" s="13">
        <v>4</v>
      </c>
      <c r="K44" s="13">
        <v>0</v>
      </c>
      <c r="L44" s="13">
        <v>30</v>
      </c>
      <c r="M44" s="13">
        <v>180</v>
      </c>
      <c r="N44" s="13">
        <v>72</v>
      </c>
      <c r="O44" s="13" t="s">
        <v>20</v>
      </c>
    </row>
    <row r="45" spans="1:15" x14ac:dyDescent="0.25">
      <c r="A45" s="3" t="s">
        <v>237</v>
      </c>
      <c r="B45" s="4">
        <v>23</v>
      </c>
      <c r="C45" s="3" t="s">
        <v>174</v>
      </c>
      <c r="D45" s="4" t="s">
        <v>182</v>
      </c>
      <c r="E45" s="3" t="s">
        <v>228</v>
      </c>
      <c r="F45" s="4" t="s">
        <v>62</v>
      </c>
      <c r="G45" s="4">
        <v>27</v>
      </c>
      <c r="H45" s="4">
        <v>2</v>
      </c>
      <c r="I45" s="4">
        <v>3</v>
      </c>
      <c r="J45" s="4">
        <v>7</v>
      </c>
      <c r="K45" s="4">
        <v>0</v>
      </c>
      <c r="L45" s="4">
        <v>25</v>
      </c>
      <c r="M45" s="4">
        <v>181</v>
      </c>
      <c r="N45" s="4">
        <v>78</v>
      </c>
      <c r="O45" s="4" t="s">
        <v>20</v>
      </c>
    </row>
    <row r="46" spans="1:15" x14ac:dyDescent="0.25">
      <c r="A46" s="12" t="s">
        <v>238</v>
      </c>
      <c r="B46" s="13">
        <v>28</v>
      </c>
      <c r="C46" s="12" t="s">
        <v>130</v>
      </c>
      <c r="D46" s="13" t="s">
        <v>182</v>
      </c>
      <c r="E46" s="12" t="s">
        <v>239</v>
      </c>
      <c r="F46" s="13" t="s">
        <v>24</v>
      </c>
      <c r="G46" s="13">
        <v>32</v>
      </c>
      <c r="H46" s="13">
        <v>18</v>
      </c>
      <c r="I46" s="13">
        <v>8</v>
      </c>
      <c r="J46" s="13">
        <v>5</v>
      </c>
      <c r="K46" s="13">
        <v>0</v>
      </c>
      <c r="L46" s="13">
        <v>35</v>
      </c>
      <c r="M46" s="13">
        <v>179</v>
      </c>
      <c r="N46" s="13">
        <v>74</v>
      </c>
      <c r="O46" s="13" t="s">
        <v>20</v>
      </c>
    </row>
    <row r="47" spans="1:15" x14ac:dyDescent="0.25">
      <c r="A47" s="3" t="s">
        <v>240</v>
      </c>
      <c r="B47" s="4">
        <v>26</v>
      </c>
      <c r="C47" s="3" t="s">
        <v>130</v>
      </c>
      <c r="D47" s="4" t="s">
        <v>182</v>
      </c>
      <c r="E47" s="3" t="s">
        <v>239</v>
      </c>
      <c r="F47" s="4" t="s">
        <v>50</v>
      </c>
      <c r="G47" s="4">
        <v>34</v>
      </c>
      <c r="H47" s="4">
        <v>9</v>
      </c>
      <c r="I47" s="4">
        <v>9</v>
      </c>
      <c r="J47" s="4">
        <v>5</v>
      </c>
      <c r="K47" s="4">
        <v>0</v>
      </c>
      <c r="L47" s="4">
        <v>25</v>
      </c>
      <c r="M47" s="4">
        <v>180</v>
      </c>
      <c r="N47" s="4">
        <v>76</v>
      </c>
      <c r="O47" s="4" t="s">
        <v>20</v>
      </c>
    </row>
    <row r="48" spans="1:15" x14ac:dyDescent="0.25">
      <c r="A48" s="12" t="s">
        <v>241</v>
      </c>
      <c r="B48" s="13">
        <v>23</v>
      </c>
      <c r="C48" s="12" t="s">
        <v>86</v>
      </c>
      <c r="D48" s="13" t="s">
        <v>182</v>
      </c>
      <c r="E48" s="12" t="s">
        <v>239</v>
      </c>
      <c r="F48" s="13" t="s">
        <v>74</v>
      </c>
      <c r="G48" s="13">
        <v>31</v>
      </c>
      <c r="H48" s="13">
        <v>8</v>
      </c>
      <c r="I48" s="13">
        <v>9</v>
      </c>
      <c r="J48" s="13">
        <v>4</v>
      </c>
      <c r="K48" s="13">
        <v>0</v>
      </c>
      <c r="L48" s="13">
        <v>30</v>
      </c>
      <c r="M48" s="13">
        <v>183</v>
      </c>
      <c r="N48" s="13">
        <v>78</v>
      </c>
      <c r="O48" s="13" t="s">
        <v>20</v>
      </c>
    </row>
    <row r="49" spans="1:15" x14ac:dyDescent="0.25">
      <c r="A49" s="3" t="s">
        <v>242</v>
      </c>
      <c r="B49" s="4">
        <v>28</v>
      </c>
      <c r="C49" s="3" t="s">
        <v>130</v>
      </c>
      <c r="D49" s="4" t="s">
        <v>182</v>
      </c>
      <c r="E49" s="3" t="s">
        <v>239</v>
      </c>
      <c r="F49" s="4" t="s">
        <v>67</v>
      </c>
      <c r="G49" s="4">
        <v>34</v>
      </c>
      <c r="H49" s="4">
        <v>0</v>
      </c>
      <c r="I49" s="4">
        <v>0</v>
      </c>
      <c r="J49" s="4">
        <v>2</v>
      </c>
      <c r="K49" s="4">
        <v>0</v>
      </c>
      <c r="L49" s="4">
        <v>20</v>
      </c>
      <c r="M49" s="4">
        <v>193</v>
      </c>
      <c r="N49" s="4">
        <v>90</v>
      </c>
      <c r="O49" s="4" t="s">
        <v>20</v>
      </c>
    </row>
  </sheetData>
  <autoFilter ref="A1:O1" xr:uid="{00000000-0009-0000-0000-000003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2"/>
  <sheetViews>
    <sheetView workbookViewId="0">
      <pane ySplit="1" topLeftCell="A2" activePane="bottomLeft" state="frozen"/>
      <selection pane="bottomLeft"/>
    </sheetView>
  </sheetViews>
  <sheetFormatPr defaultRowHeight="15" x14ac:dyDescent="0.25"/>
  <cols>
    <col min="1" max="1" width="24" customWidth="1"/>
    <col min="2" max="2" width="7" customWidth="1"/>
    <col min="3" max="3" width="16" customWidth="1"/>
    <col min="4" max="4" width="18" customWidth="1"/>
    <col min="5" max="5" width="24" customWidth="1"/>
    <col min="6" max="6" width="10" customWidth="1"/>
    <col min="7" max="7" width="13" customWidth="1"/>
    <col min="8" max="8" width="8" customWidth="1"/>
    <col min="9" max="9" width="9" customWidth="1"/>
    <col min="10" max="10" width="13" customWidth="1"/>
    <col min="11" max="11" width="10" customWidth="1"/>
    <col min="12" max="12" width="18" customWidth="1"/>
    <col min="13" max="14" width="11" customWidth="1"/>
    <col min="15" max="15" width="10" customWidth="1"/>
  </cols>
  <sheetData>
    <row r="1" spans="1:15" ht="21.95" customHeight="1" x14ac:dyDescent="0.25">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row>
    <row r="2" spans="1:15" x14ac:dyDescent="0.25">
      <c r="A2" s="15" t="s">
        <v>243</v>
      </c>
      <c r="B2" s="16">
        <v>25</v>
      </c>
      <c r="C2" s="15" t="s">
        <v>244</v>
      </c>
      <c r="D2" s="16" t="s">
        <v>245</v>
      </c>
      <c r="E2" s="15" t="s">
        <v>246</v>
      </c>
      <c r="F2" s="16" t="s">
        <v>24</v>
      </c>
      <c r="G2" s="16">
        <v>37</v>
      </c>
      <c r="H2" s="16">
        <v>25</v>
      </c>
      <c r="I2" s="16">
        <v>9</v>
      </c>
      <c r="J2" s="16">
        <v>5</v>
      </c>
      <c r="K2" s="16">
        <v>0</v>
      </c>
      <c r="L2" s="16">
        <v>45</v>
      </c>
      <c r="M2" s="16">
        <v>184</v>
      </c>
      <c r="N2" s="16">
        <v>82</v>
      </c>
      <c r="O2" s="16" t="s">
        <v>20</v>
      </c>
    </row>
    <row r="3" spans="1:15" x14ac:dyDescent="0.25">
      <c r="A3" s="3" t="s">
        <v>247</v>
      </c>
      <c r="B3" s="4">
        <v>27</v>
      </c>
      <c r="C3" s="3" t="s">
        <v>95</v>
      </c>
      <c r="D3" s="4" t="s">
        <v>245</v>
      </c>
      <c r="E3" s="3" t="s">
        <v>248</v>
      </c>
      <c r="F3" s="4" t="s">
        <v>24</v>
      </c>
      <c r="G3" s="4">
        <v>33</v>
      </c>
      <c r="H3" s="4">
        <v>16</v>
      </c>
      <c r="I3" s="4">
        <v>6</v>
      </c>
      <c r="J3" s="4">
        <v>5</v>
      </c>
      <c r="K3" s="4">
        <v>0</v>
      </c>
      <c r="L3" s="4">
        <v>110</v>
      </c>
      <c r="M3" s="4">
        <v>174</v>
      </c>
      <c r="N3" s="4">
        <v>72</v>
      </c>
      <c r="O3" s="4" t="s">
        <v>20</v>
      </c>
    </row>
    <row r="4" spans="1:15" x14ac:dyDescent="0.25">
      <c r="A4" s="15" t="s">
        <v>249</v>
      </c>
      <c r="B4" s="16">
        <v>33</v>
      </c>
      <c r="C4" s="15" t="s">
        <v>250</v>
      </c>
      <c r="D4" s="16" t="s">
        <v>245</v>
      </c>
      <c r="E4" s="15" t="s">
        <v>251</v>
      </c>
      <c r="F4" s="16" t="s">
        <v>24</v>
      </c>
      <c r="G4" s="16">
        <v>4</v>
      </c>
      <c r="H4" s="16">
        <v>1</v>
      </c>
      <c r="I4" s="16">
        <v>0</v>
      </c>
      <c r="J4" s="16">
        <v>0</v>
      </c>
      <c r="K4" s="16">
        <v>0</v>
      </c>
      <c r="L4" s="16">
        <v>8</v>
      </c>
      <c r="M4" s="16">
        <v>190</v>
      </c>
      <c r="N4" s="16">
        <v>88</v>
      </c>
      <c r="O4" s="16" t="s">
        <v>20</v>
      </c>
    </row>
    <row r="5" spans="1:15" x14ac:dyDescent="0.25">
      <c r="A5" s="3" t="s">
        <v>252</v>
      </c>
      <c r="B5" s="4">
        <v>27</v>
      </c>
      <c r="C5" s="3" t="s">
        <v>190</v>
      </c>
      <c r="D5" s="4" t="s">
        <v>245</v>
      </c>
      <c r="E5" s="3" t="s">
        <v>246</v>
      </c>
      <c r="F5" s="4" t="s">
        <v>50</v>
      </c>
      <c r="G5" s="4">
        <v>36</v>
      </c>
      <c r="H5" s="4">
        <v>13</v>
      </c>
      <c r="I5" s="4">
        <v>13</v>
      </c>
      <c r="J5" s="4">
        <v>5</v>
      </c>
      <c r="K5" s="4">
        <v>0</v>
      </c>
      <c r="L5" s="4">
        <v>60</v>
      </c>
      <c r="M5" s="4">
        <v>175</v>
      </c>
      <c r="N5" s="4">
        <v>70</v>
      </c>
      <c r="O5" s="4" t="s">
        <v>20</v>
      </c>
    </row>
    <row r="6" spans="1:15" x14ac:dyDescent="0.25">
      <c r="A6" s="15" t="s">
        <v>253</v>
      </c>
      <c r="B6" s="16">
        <v>27</v>
      </c>
      <c r="C6" s="15" t="s">
        <v>86</v>
      </c>
      <c r="D6" s="16" t="s">
        <v>245</v>
      </c>
      <c r="E6" s="15" t="s">
        <v>248</v>
      </c>
      <c r="F6" s="16" t="s">
        <v>24</v>
      </c>
      <c r="G6" s="16">
        <v>35</v>
      </c>
      <c r="H6" s="16">
        <v>15</v>
      </c>
      <c r="I6" s="16">
        <v>12</v>
      </c>
      <c r="J6" s="16">
        <v>4</v>
      </c>
      <c r="K6" s="16">
        <v>0</v>
      </c>
      <c r="L6" s="16">
        <v>70</v>
      </c>
      <c r="M6" s="16">
        <v>192</v>
      </c>
      <c r="N6" s="16">
        <v>85</v>
      </c>
      <c r="O6" s="16" t="s">
        <v>20</v>
      </c>
    </row>
    <row r="7" spans="1:15" x14ac:dyDescent="0.25">
      <c r="A7" s="3" t="s">
        <v>254</v>
      </c>
      <c r="B7" s="4">
        <v>23</v>
      </c>
      <c r="C7" s="3" t="s">
        <v>169</v>
      </c>
      <c r="D7" s="4" t="s">
        <v>245</v>
      </c>
      <c r="E7" s="3" t="s">
        <v>255</v>
      </c>
      <c r="F7" s="4" t="s">
        <v>50</v>
      </c>
      <c r="G7" s="4">
        <v>17</v>
      </c>
      <c r="H7" s="4">
        <v>7</v>
      </c>
      <c r="I7" s="4">
        <v>5</v>
      </c>
      <c r="J7" s="4">
        <v>3</v>
      </c>
      <c r="K7" s="4">
        <v>0</v>
      </c>
      <c r="L7" s="4">
        <v>90</v>
      </c>
      <c r="M7" s="4">
        <v>183</v>
      </c>
      <c r="N7" s="4">
        <v>75</v>
      </c>
      <c r="O7" s="4" t="s">
        <v>20</v>
      </c>
    </row>
    <row r="8" spans="1:15" x14ac:dyDescent="0.25">
      <c r="A8" s="15" t="s">
        <v>256</v>
      </c>
      <c r="B8" s="16">
        <v>26</v>
      </c>
      <c r="C8" s="15" t="s">
        <v>190</v>
      </c>
      <c r="D8" s="16" t="s">
        <v>245</v>
      </c>
      <c r="E8" s="15" t="s">
        <v>255</v>
      </c>
      <c r="F8" s="16" t="s">
        <v>24</v>
      </c>
      <c r="G8" s="16">
        <v>0</v>
      </c>
      <c r="H8" s="16">
        <v>0</v>
      </c>
      <c r="I8" s="16">
        <v>0</v>
      </c>
      <c r="J8" s="16">
        <v>0</v>
      </c>
      <c r="K8" s="16">
        <v>0</v>
      </c>
      <c r="L8" s="16">
        <v>75</v>
      </c>
      <c r="M8" s="16">
        <v>185</v>
      </c>
      <c r="N8" s="16">
        <v>78</v>
      </c>
      <c r="O8" s="16" t="s">
        <v>20</v>
      </c>
    </row>
    <row r="9" spans="1:15" x14ac:dyDescent="0.25">
      <c r="A9" s="3" t="s">
        <v>257</v>
      </c>
      <c r="B9" s="4">
        <v>25</v>
      </c>
      <c r="C9" s="3" t="s">
        <v>52</v>
      </c>
      <c r="D9" s="4" t="s">
        <v>245</v>
      </c>
      <c r="E9" s="3" t="s">
        <v>258</v>
      </c>
      <c r="F9" s="4" t="s">
        <v>50</v>
      </c>
      <c r="G9" s="4">
        <v>33</v>
      </c>
      <c r="H9" s="4">
        <v>11</v>
      </c>
      <c r="I9" s="4">
        <v>10</v>
      </c>
      <c r="J9" s="4">
        <v>4</v>
      </c>
      <c r="K9" s="4">
        <v>0</v>
      </c>
      <c r="L9" s="4">
        <v>90</v>
      </c>
      <c r="M9" s="4">
        <v>188</v>
      </c>
      <c r="N9" s="4">
        <v>82</v>
      </c>
      <c r="O9" s="4" t="s">
        <v>20</v>
      </c>
    </row>
    <row r="10" spans="1:15" x14ac:dyDescent="0.25">
      <c r="A10" s="15" t="s">
        <v>259</v>
      </c>
      <c r="B10" s="16">
        <v>27</v>
      </c>
      <c r="C10" s="15" t="s">
        <v>86</v>
      </c>
      <c r="D10" s="16" t="s">
        <v>245</v>
      </c>
      <c r="E10" s="15" t="s">
        <v>258</v>
      </c>
      <c r="F10" s="16" t="s">
        <v>90</v>
      </c>
      <c r="G10" s="16">
        <v>30</v>
      </c>
      <c r="H10" s="16">
        <v>5</v>
      </c>
      <c r="I10" s="16">
        <v>9</v>
      </c>
      <c r="J10" s="16">
        <v>6</v>
      </c>
      <c r="K10" s="16">
        <v>0</v>
      </c>
      <c r="L10" s="16">
        <v>65</v>
      </c>
      <c r="M10" s="16">
        <v>184</v>
      </c>
      <c r="N10" s="16">
        <v>83</v>
      </c>
      <c r="O10" s="16" t="s">
        <v>20</v>
      </c>
    </row>
    <row r="11" spans="1:15" x14ac:dyDescent="0.25">
      <c r="A11" s="3" t="s">
        <v>260</v>
      </c>
      <c r="B11" s="4">
        <v>29</v>
      </c>
      <c r="C11" s="3" t="s">
        <v>86</v>
      </c>
      <c r="D11" s="4" t="s">
        <v>245</v>
      </c>
      <c r="E11" s="3" t="s">
        <v>258</v>
      </c>
      <c r="F11" s="4" t="s">
        <v>67</v>
      </c>
      <c r="G11" s="4">
        <v>34</v>
      </c>
      <c r="H11" s="4">
        <v>0</v>
      </c>
      <c r="I11" s="4">
        <v>0</v>
      </c>
      <c r="J11" s="4">
        <v>1</v>
      </c>
      <c r="K11" s="4">
        <v>0</v>
      </c>
      <c r="L11" s="4">
        <v>55</v>
      </c>
      <c r="M11" s="4">
        <v>191</v>
      </c>
      <c r="N11" s="4">
        <v>86</v>
      </c>
      <c r="O11" s="4" t="s">
        <v>20</v>
      </c>
    </row>
    <row r="12" spans="1:15" x14ac:dyDescent="0.25">
      <c r="A12" s="15" t="s">
        <v>261</v>
      </c>
      <c r="B12" s="16">
        <v>31</v>
      </c>
      <c r="C12" s="15" t="s">
        <v>95</v>
      </c>
      <c r="D12" s="16" t="s">
        <v>245</v>
      </c>
      <c r="E12" s="15" t="s">
        <v>157</v>
      </c>
      <c r="F12" s="16" t="s">
        <v>42</v>
      </c>
      <c r="G12" s="16">
        <v>27</v>
      </c>
      <c r="H12" s="16">
        <v>9</v>
      </c>
      <c r="I12" s="16">
        <v>7</v>
      </c>
      <c r="J12" s="16">
        <v>3</v>
      </c>
      <c r="K12" s="16">
        <v>0</v>
      </c>
      <c r="L12" s="16">
        <v>18</v>
      </c>
      <c r="M12" s="16">
        <v>177</v>
      </c>
      <c r="N12" s="16">
        <v>75</v>
      </c>
      <c r="O12" s="16" t="s">
        <v>20</v>
      </c>
    </row>
    <row r="13" spans="1:15" x14ac:dyDescent="0.25">
      <c r="A13" s="3" t="s">
        <v>262</v>
      </c>
      <c r="B13" s="4">
        <v>28</v>
      </c>
      <c r="C13" s="3" t="s">
        <v>244</v>
      </c>
      <c r="D13" s="4" t="s">
        <v>245</v>
      </c>
      <c r="E13" s="3" t="s">
        <v>157</v>
      </c>
      <c r="F13" s="4" t="s">
        <v>45</v>
      </c>
      <c r="G13" s="4">
        <v>33</v>
      </c>
      <c r="H13" s="4">
        <v>8</v>
      </c>
      <c r="I13" s="4">
        <v>8</v>
      </c>
      <c r="J13" s="4">
        <v>6</v>
      </c>
      <c r="K13" s="4">
        <v>0</v>
      </c>
      <c r="L13" s="4">
        <v>30</v>
      </c>
      <c r="M13" s="4">
        <v>185</v>
      </c>
      <c r="N13" s="4">
        <v>78</v>
      </c>
      <c r="O13" s="4" t="s">
        <v>20</v>
      </c>
    </row>
    <row r="14" spans="1:15" x14ac:dyDescent="0.25">
      <c r="A14" s="15" t="s">
        <v>263</v>
      </c>
      <c r="B14" s="16">
        <v>27</v>
      </c>
      <c r="C14" s="15" t="s">
        <v>244</v>
      </c>
      <c r="D14" s="16" t="s">
        <v>245</v>
      </c>
      <c r="E14" s="15" t="s">
        <v>248</v>
      </c>
      <c r="F14" s="16" t="s">
        <v>74</v>
      </c>
      <c r="G14" s="16">
        <v>34</v>
      </c>
      <c r="H14" s="16">
        <v>5</v>
      </c>
      <c r="I14" s="16">
        <v>12</v>
      </c>
      <c r="J14" s="16">
        <v>9</v>
      </c>
      <c r="K14" s="16">
        <v>1</v>
      </c>
      <c r="L14" s="16">
        <v>80</v>
      </c>
      <c r="M14" s="16">
        <v>172</v>
      </c>
      <c r="N14" s="16">
        <v>68</v>
      </c>
      <c r="O14" s="16" t="s">
        <v>20</v>
      </c>
    </row>
    <row r="15" spans="1:15" x14ac:dyDescent="0.25">
      <c r="A15" s="3" t="s">
        <v>264</v>
      </c>
      <c r="B15" s="4">
        <v>31</v>
      </c>
      <c r="C15" s="3" t="s">
        <v>265</v>
      </c>
      <c r="D15" s="4" t="s">
        <v>245</v>
      </c>
      <c r="E15" s="3" t="s">
        <v>248</v>
      </c>
      <c r="F15" s="4" t="s">
        <v>62</v>
      </c>
      <c r="G15" s="4">
        <v>33</v>
      </c>
      <c r="H15" s="4">
        <v>8</v>
      </c>
      <c r="I15" s="4">
        <v>10</v>
      </c>
      <c r="J15" s="4">
        <v>9</v>
      </c>
      <c r="K15" s="4">
        <v>0</v>
      </c>
      <c r="L15" s="4">
        <v>45</v>
      </c>
      <c r="M15" s="4">
        <v>178</v>
      </c>
      <c r="N15" s="4">
        <v>76</v>
      </c>
      <c r="O15" s="4" t="s">
        <v>20</v>
      </c>
    </row>
    <row r="16" spans="1:15" x14ac:dyDescent="0.25">
      <c r="A16" s="15" t="s">
        <v>266</v>
      </c>
      <c r="B16" s="16">
        <v>27</v>
      </c>
      <c r="C16" s="15" t="s">
        <v>244</v>
      </c>
      <c r="D16" s="16" t="s">
        <v>245</v>
      </c>
      <c r="E16" s="15" t="s">
        <v>248</v>
      </c>
      <c r="F16" s="16" t="s">
        <v>19</v>
      </c>
      <c r="G16" s="16">
        <v>14</v>
      </c>
      <c r="H16" s="16">
        <v>2</v>
      </c>
      <c r="I16" s="16">
        <v>3</v>
      </c>
      <c r="J16" s="16">
        <v>2</v>
      </c>
      <c r="K16" s="16">
        <v>0</v>
      </c>
      <c r="L16" s="16">
        <v>35</v>
      </c>
      <c r="M16" s="16">
        <v>175</v>
      </c>
      <c r="N16" s="16">
        <v>70</v>
      </c>
      <c r="O16" s="16" t="s">
        <v>20</v>
      </c>
    </row>
    <row r="17" spans="1:15" x14ac:dyDescent="0.25">
      <c r="A17" s="3" t="s">
        <v>267</v>
      </c>
      <c r="B17" s="4">
        <v>48</v>
      </c>
      <c r="C17" s="3" t="s">
        <v>244</v>
      </c>
      <c r="D17" s="4" t="s">
        <v>245</v>
      </c>
      <c r="E17" s="3" t="s">
        <v>248</v>
      </c>
      <c r="F17" s="4" t="s">
        <v>74</v>
      </c>
      <c r="G17" s="4">
        <v>0</v>
      </c>
      <c r="H17" s="4">
        <v>0</v>
      </c>
      <c r="I17" s="4">
        <v>0</v>
      </c>
      <c r="J17" s="4">
        <v>0</v>
      </c>
      <c r="K17" s="4">
        <v>0</v>
      </c>
      <c r="L17" s="4">
        <v>0</v>
      </c>
      <c r="M17" s="4">
        <v>183</v>
      </c>
      <c r="N17" s="4">
        <v>78</v>
      </c>
      <c r="O17" s="4" t="s">
        <v>20</v>
      </c>
    </row>
    <row r="18" spans="1:15" x14ac:dyDescent="0.25">
      <c r="A18" s="15" t="s">
        <v>268</v>
      </c>
      <c r="B18" s="16">
        <v>25</v>
      </c>
      <c r="C18" s="15" t="s">
        <v>244</v>
      </c>
      <c r="D18" s="16" t="s">
        <v>245</v>
      </c>
      <c r="E18" s="15" t="s">
        <v>248</v>
      </c>
      <c r="F18" s="16" t="s">
        <v>60</v>
      </c>
      <c r="G18" s="16">
        <v>34</v>
      </c>
      <c r="H18" s="16">
        <v>2</v>
      </c>
      <c r="I18" s="16">
        <v>5</v>
      </c>
      <c r="J18" s="16">
        <v>4</v>
      </c>
      <c r="K18" s="16">
        <v>0</v>
      </c>
      <c r="L18" s="16">
        <v>80</v>
      </c>
      <c r="M18" s="16">
        <v>190</v>
      </c>
      <c r="N18" s="16">
        <v>85</v>
      </c>
      <c r="O18" s="16" t="s">
        <v>20</v>
      </c>
    </row>
    <row r="19" spans="1:15" x14ac:dyDescent="0.25">
      <c r="A19" s="3" t="s">
        <v>269</v>
      </c>
      <c r="B19" s="4">
        <v>37</v>
      </c>
      <c r="C19" s="3" t="s">
        <v>244</v>
      </c>
      <c r="D19" s="4" t="s">
        <v>245</v>
      </c>
      <c r="E19" s="3" t="s">
        <v>248</v>
      </c>
      <c r="F19" s="4" t="s">
        <v>60</v>
      </c>
      <c r="G19" s="4">
        <v>29</v>
      </c>
      <c r="H19" s="4">
        <v>2</v>
      </c>
      <c r="I19" s="4">
        <v>1</v>
      </c>
      <c r="J19" s="4">
        <v>5</v>
      </c>
      <c r="K19" s="4">
        <v>0</v>
      </c>
      <c r="L19" s="4">
        <v>6</v>
      </c>
      <c r="M19" s="4">
        <v>192</v>
      </c>
      <c r="N19" s="4">
        <v>84</v>
      </c>
      <c r="O19" s="4" t="s">
        <v>20</v>
      </c>
    </row>
    <row r="20" spans="1:15" x14ac:dyDescent="0.25">
      <c r="A20" s="15" t="s">
        <v>270</v>
      </c>
      <c r="B20" s="16">
        <v>36</v>
      </c>
      <c r="C20" s="15" t="s">
        <v>188</v>
      </c>
      <c r="D20" s="16" t="s">
        <v>245</v>
      </c>
      <c r="E20" s="15" t="s">
        <v>248</v>
      </c>
      <c r="F20" s="16" t="s">
        <v>67</v>
      </c>
      <c r="G20" s="16">
        <v>35</v>
      </c>
      <c r="H20" s="16">
        <v>0</v>
      </c>
      <c r="I20" s="16">
        <v>0</v>
      </c>
      <c r="J20" s="16">
        <v>2</v>
      </c>
      <c r="K20" s="16">
        <v>0</v>
      </c>
      <c r="L20" s="16">
        <v>12</v>
      </c>
      <c r="M20" s="16">
        <v>183</v>
      </c>
      <c r="N20" s="16">
        <v>81</v>
      </c>
      <c r="O20" s="16" t="s">
        <v>20</v>
      </c>
    </row>
    <row r="21" spans="1:15" x14ac:dyDescent="0.25">
      <c r="A21" s="3" t="s">
        <v>271</v>
      </c>
      <c r="B21" s="4">
        <v>28</v>
      </c>
      <c r="C21" s="3" t="s">
        <v>59</v>
      </c>
      <c r="D21" s="4" t="s">
        <v>245</v>
      </c>
      <c r="E21" s="3" t="s">
        <v>248</v>
      </c>
      <c r="F21" s="4" t="s">
        <v>64</v>
      </c>
      <c r="G21" s="4">
        <v>31</v>
      </c>
      <c r="H21" s="4">
        <v>4</v>
      </c>
      <c r="I21" s="4">
        <v>7</v>
      </c>
      <c r="J21" s="4">
        <v>5</v>
      </c>
      <c r="K21" s="4">
        <v>0</v>
      </c>
      <c r="L21" s="4">
        <v>35</v>
      </c>
      <c r="M21" s="4">
        <v>187</v>
      </c>
      <c r="N21" s="4">
        <v>82</v>
      </c>
      <c r="O21" s="4" t="s">
        <v>20</v>
      </c>
    </row>
    <row r="22" spans="1:15" x14ac:dyDescent="0.25">
      <c r="A22" s="15" t="s">
        <v>272</v>
      </c>
      <c r="B22" s="16">
        <v>27</v>
      </c>
      <c r="C22" s="15" t="s">
        <v>244</v>
      </c>
      <c r="D22" s="16" t="s">
        <v>245</v>
      </c>
      <c r="E22" s="15" t="s">
        <v>248</v>
      </c>
      <c r="F22" s="16" t="s">
        <v>90</v>
      </c>
      <c r="G22" s="16">
        <v>34</v>
      </c>
      <c r="H22" s="16">
        <v>5</v>
      </c>
      <c r="I22" s="16">
        <v>9</v>
      </c>
      <c r="J22" s="16">
        <v>5</v>
      </c>
      <c r="K22" s="16">
        <v>0</v>
      </c>
      <c r="L22" s="16">
        <v>45</v>
      </c>
      <c r="M22" s="16">
        <v>173</v>
      </c>
      <c r="N22" s="16">
        <v>71</v>
      </c>
      <c r="O22" s="16" t="s">
        <v>20</v>
      </c>
    </row>
    <row r="23" spans="1:15" x14ac:dyDescent="0.25">
      <c r="A23" s="3" t="s">
        <v>273</v>
      </c>
      <c r="B23" s="4">
        <v>25</v>
      </c>
      <c r="C23" s="3" t="s">
        <v>274</v>
      </c>
      <c r="D23" s="4" t="s">
        <v>245</v>
      </c>
      <c r="E23" s="3" t="s">
        <v>275</v>
      </c>
      <c r="F23" s="4" t="s">
        <v>24</v>
      </c>
      <c r="G23" s="4">
        <v>29</v>
      </c>
      <c r="H23" s="4">
        <v>14</v>
      </c>
      <c r="I23" s="4">
        <v>3</v>
      </c>
      <c r="J23" s="4">
        <v>6</v>
      </c>
      <c r="K23" s="4">
        <v>0</v>
      </c>
      <c r="L23" s="4">
        <v>65</v>
      </c>
      <c r="M23" s="4">
        <v>190</v>
      </c>
      <c r="N23" s="4">
        <v>88</v>
      </c>
      <c r="O23" s="4" t="s">
        <v>20</v>
      </c>
    </row>
    <row r="24" spans="1:15" x14ac:dyDescent="0.25">
      <c r="A24" s="15" t="s">
        <v>276</v>
      </c>
      <c r="B24" s="16">
        <v>27</v>
      </c>
      <c r="C24" s="15" t="s">
        <v>244</v>
      </c>
      <c r="D24" s="16" t="s">
        <v>245</v>
      </c>
      <c r="E24" s="15" t="s">
        <v>275</v>
      </c>
      <c r="F24" s="16" t="s">
        <v>19</v>
      </c>
      <c r="G24" s="16">
        <v>5</v>
      </c>
      <c r="H24" s="16">
        <v>0</v>
      </c>
      <c r="I24" s="16">
        <v>1</v>
      </c>
      <c r="J24" s="16">
        <v>1</v>
      </c>
      <c r="K24" s="16">
        <v>0</v>
      </c>
      <c r="L24" s="16">
        <v>20</v>
      </c>
      <c r="M24" s="16">
        <v>175</v>
      </c>
      <c r="N24" s="16">
        <v>70</v>
      </c>
      <c r="O24" s="16" t="s">
        <v>20</v>
      </c>
    </row>
    <row r="25" spans="1:15" x14ac:dyDescent="0.25">
      <c r="A25" s="3" t="s">
        <v>277</v>
      </c>
      <c r="B25" s="4">
        <v>29</v>
      </c>
      <c r="C25" s="3" t="s">
        <v>86</v>
      </c>
      <c r="D25" s="4" t="s">
        <v>245</v>
      </c>
      <c r="E25" s="3" t="s">
        <v>275</v>
      </c>
      <c r="F25" s="4" t="s">
        <v>74</v>
      </c>
      <c r="G25" s="4">
        <v>32</v>
      </c>
      <c r="H25" s="4">
        <v>5</v>
      </c>
      <c r="I25" s="4">
        <v>6</v>
      </c>
      <c r="J25" s="4">
        <v>7</v>
      </c>
      <c r="K25" s="4">
        <v>0</v>
      </c>
      <c r="L25" s="4">
        <v>20</v>
      </c>
      <c r="M25" s="4">
        <v>188</v>
      </c>
      <c r="N25" s="4">
        <v>82</v>
      </c>
      <c r="O25" s="4" t="s">
        <v>20</v>
      </c>
    </row>
    <row r="26" spans="1:15" x14ac:dyDescent="0.25">
      <c r="A26" s="15" t="s">
        <v>278</v>
      </c>
      <c r="B26" s="16">
        <v>27</v>
      </c>
      <c r="C26" s="15" t="s">
        <v>40</v>
      </c>
      <c r="D26" s="16" t="s">
        <v>245</v>
      </c>
      <c r="E26" s="15" t="s">
        <v>275</v>
      </c>
      <c r="F26" s="16" t="s">
        <v>60</v>
      </c>
      <c r="G26" s="16">
        <v>5</v>
      </c>
      <c r="H26" s="16">
        <v>0</v>
      </c>
      <c r="I26" s="16">
        <v>0</v>
      </c>
      <c r="J26" s="16">
        <v>1</v>
      </c>
      <c r="K26" s="16">
        <v>0</v>
      </c>
      <c r="L26" s="16">
        <v>40</v>
      </c>
      <c r="M26" s="16">
        <v>188</v>
      </c>
      <c r="N26" s="16">
        <v>83</v>
      </c>
      <c r="O26" s="16" t="s">
        <v>20</v>
      </c>
    </row>
    <row r="27" spans="1:15" x14ac:dyDescent="0.25">
      <c r="A27" s="3" t="s">
        <v>131</v>
      </c>
      <c r="B27" s="4">
        <v>35</v>
      </c>
      <c r="C27" s="3" t="s">
        <v>116</v>
      </c>
      <c r="D27" s="4" t="s">
        <v>245</v>
      </c>
      <c r="E27" s="3" t="s">
        <v>275</v>
      </c>
      <c r="F27" s="4" t="s">
        <v>67</v>
      </c>
      <c r="G27" s="4">
        <v>5</v>
      </c>
      <c r="H27" s="4">
        <v>0</v>
      </c>
      <c r="I27" s="4">
        <v>0</v>
      </c>
      <c r="J27" s="4">
        <v>0</v>
      </c>
      <c r="K27" s="4">
        <v>0</v>
      </c>
      <c r="L27" s="4">
        <v>3</v>
      </c>
      <c r="M27" s="4">
        <v>196</v>
      </c>
      <c r="N27" s="4">
        <v>88</v>
      </c>
      <c r="O27" s="4" t="s">
        <v>20</v>
      </c>
    </row>
    <row r="28" spans="1:15" x14ac:dyDescent="0.25">
      <c r="A28" s="15" t="s">
        <v>279</v>
      </c>
      <c r="B28" s="16">
        <v>40</v>
      </c>
      <c r="C28" s="15" t="s">
        <v>244</v>
      </c>
      <c r="D28" s="16" t="s">
        <v>245</v>
      </c>
      <c r="E28" s="15" t="s">
        <v>275</v>
      </c>
      <c r="F28" s="16" t="s">
        <v>60</v>
      </c>
      <c r="G28" s="16">
        <v>0</v>
      </c>
      <c r="H28" s="16">
        <v>0</v>
      </c>
      <c r="I28" s="16">
        <v>0</v>
      </c>
      <c r="J28" s="16">
        <v>0</v>
      </c>
      <c r="K28" s="16">
        <v>0</v>
      </c>
      <c r="L28" s="16">
        <v>0</v>
      </c>
      <c r="M28" s="16">
        <v>187</v>
      </c>
      <c r="N28" s="16">
        <v>86</v>
      </c>
      <c r="O28" s="16" t="s">
        <v>20</v>
      </c>
    </row>
    <row r="29" spans="1:15" x14ac:dyDescent="0.25">
      <c r="A29" s="3" t="s">
        <v>280</v>
      </c>
      <c r="B29" s="4">
        <v>27</v>
      </c>
      <c r="C29" s="3" t="s">
        <v>244</v>
      </c>
      <c r="D29" s="4" t="s">
        <v>245</v>
      </c>
      <c r="E29" s="3" t="s">
        <v>275</v>
      </c>
      <c r="F29" s="4" t="s">
        <v>62</v>
      </c>
      <c r="G29" s="4">
        <v>32</v>
      </c>
      <c r="H29" s="4">
        <v>3</v>
      </c>
      <c r="I29" s="4">
        <v>5</v>
      </c>
      <c r="J29" s="4">
        <v>8</v>
      </c>
      <c r="K29" s="4">
        <v>0</v>
      </c>
      <c r="L29" s="4">
        <v>25</v>
      </c>
      <c r="M29" s="4">
        <v>185</v>
      </c>
      <c r="N29" s="4">
        <v>79</v>
      </c>
      <c r="O29" s="4" t="s">
        <v>20</v>
      </c>
    </row>
    <row r="30" spans="1:15" x14ac:dyDescent="0.25">
      <c r="A30" s="15" t="s">
        <v>281</v>
      </c>
      <c r="B30" s="16">
        <v>19</v>
      </c>
      <c r="C30" s="15" t="s">
        <v>265</v>
      </c>
      <c r="D30" s="16" t="s">
        <v>245</v>
      </c>
      <c r="E30" s="15" t="s">
        <v>275</v>
      </c>
      <c r="F30" s="16" t="s">
        <v>45</v>
      </c>
      <c r="G30" s="16">
        <v>34</v>
      </c>
      <c r="H30" s="16">
        <v>10</v>
      </c>
      <c r="I30" s="16">
        <v>7</v>
      </c>
      <c r="J30" s="16">
        <v>5</v>
      </c>
      <c r="K30" s="16">
        <v>0</v>
      </c>
      <c r="L30" s="16">
        <v>50</v>
      </c>
      <c r="M30" s="16">
        <v>186</v>
      </c>
      <c r="N30" s="16">
        <v>74</v>
      </c>
      <c r="O30" s="16" t="s">
        <v>20</v>
      </c>
    </row>
    <row r="31" spans="1:15" x14ac:dyDescent="0.25">
      <c r="A31" s="3" t="s">
        <v>282</v>
      </c>
      <c r="B31" s="4">
        <v>24</v>
      </c>
      <c r="C31" s="3" t="s">
        <v>101</v>
      </c>
      <c r="D31" s="4" t="s">
        <v>245</v>
      </c>
      <c r="E31" s="3" t="s">
        <v>275</v>
      </c>
      <c r="F31" s="4" t="s">
        <v>19</v>
      </c>
      <c r="G31" s="4">
        <v>28</v>
      </c>
      <c r="H31" s="4">
        <v>4</v>
      </c>
      <c r="I31" s="4">
        <v>6</v>
      </c>
      <c r="J31" s="4">
        <v>4</v>
      </c>
      <c r="K31" s="4">
        <v>0</v>
      </c>
      <c r="L31" s="4">
        <v>25</v>
      </c>
      <c r="M31" s="4">
        <v>181</v>
      </c>
      <c r="N31" s="4">
        <v>77</v>
      </c>
      <c r="O31" s="4" t="s">
        <v>20</v>
      </c>
    </row>
    <row r="32" spans="1:15" x14ac:dyDescent="0.25">
      <c r="A32" s="15" t="s">
        <v>283</v>
      </c>
      <c r="B32" s="16">
        <v>26</v>
      </c>
      <c r="C32" s="15" t="s">
        <v>244</v>
      </c>
      <c r="D32" s="16" t="s">
        <v>245</v>
      </c>
      <c r="E32" s="15" t="s">
        <v>246</v>
      </c>
      <c r="F32" s="16" t="s">
        <v>24</v>
      </c>
      <c r="G32" s="16">
        <v>13</v>
      </c>
      <c r="H32" s="16">
        <v>4</v>
      </c>
      <c r="I32" s="16">
        <v>1</v>
      </c>
      <c r="J32" s="16">
        <v>2</v>
      </c>
      <c r="K32" s="16">
        <v>0</v>
      </c>
      <c r="L32" s="16">
        <v>35</v>
      </c>
      <c r="M32" s="16">
        <v>195</v>
      </c>
      <c r="N32" s="16">
        <v>90</v>
      </c>
      <c r="O32" s="16" t="s">
        <v>20</v>
      </c>
    </row>
    <row r="33" spans="1:15" x14ac:dyDescent="0.25">
      <c r="A33" s="3" t="s">
        <v>284</v>
      </c>
      <c r="B33" s="4">
        <v>21</v>
      </c>
      <c r="C33" s="3" t="s">
        <v>244</v>
      </c>
      <c r="D33" s="4" t="s">
        <v>245</v>
      </c>
      <c r="E33" s="3" t="s">
        <v>246</v>
      </c>
      <c r="F33" s="4" t="s">
        <v>60</v>
      </c>
      <c r="G33" s="4">
        <v>22</v>
      </c>
      <c r="H33" s="4">
        <v>2</v>
      </c>
      <c r="I33" s="4">
        <v>2</v>
      </c>
      <c r="J33" s="4">
        <v>3</v>
      </c>
      <c r="K33" s="4">
        <v>0</v>
      </c>
      <c r="L33" s="4">
        <v>45</v>
      </c>
      <c r="M33" s="4">
        <v>194</v>
      </c>
      <c r="N33" s="4">
        <v>86</v>
      </c>
      <c r="O33" s="4" t="s">
        <v>20</v>
      </c>
    </row>
    <row r="34" spans="1:15" x14ac:dyDescent="0.25">
      <c r="A34" s="15" t="s">
        <v>285</v>
      </c>
      <c r="B34" s="16">
        <v>26</v>
      </c>
      <c r="C34" s="15" t="s">
        <v>59</v>
      </c>
      <c r="D34" s="16" t="s">
        <v>245</v>
      </c>
      <c r="E34" s="15" t="s">
        <v>246</v>
      </c>
      <c r="F34" s="16" t="s">
        <v>74</v>
      </c>
      <c r="G34" s="16">
        <v>33</v>
      </c>
      <c r="H34" s="16">
        <v>10</v>
      </c>
      <c r="I34" s="16">
        <v>8</v>
      </c>
      <c r="J34" s="16">
        <v>6</v>
      </c>
      <c r="K34" s="16">
        <v>0</v>
      </c>
      <c r="L34" s="16">
        <v>55</v>
      </c>
      <c r="M34" s="16">
        <v>180</v>
      </c>
      <c r="N34" s="16">
        <v>76</v>
      </c>
      <c r="O34" s="16" t="s">
        <v>20</v>
      </c>
    </row>
    <row r="35" spans="1:15" x14ac:dyDescent="0.25">
      <c r="A35" s="3" t="s">
        <v>286</v>
      </c>
      <c r="B35" s="4">
        <v>29</v>
      </c>
      <c r="C35" s="3" t="s">
        <v>143</v>
      </c>
      <c r="D35" s="4" t="s">
        <v>245</v>
      </c>
      <c r="E35" s="3" t="s">
        <v>246</v>
      </c>
      <c r="F35" s="4" t="s">
        <v>74</v>
      </c>
      <c r="G35" s="4">
        <v>36</v>
      </c>
      <c r="H35" s="4">
        <v>8</v>
      </c>
      <c r="I35" s="4">
        <v>7</v>
      </c>
      <c r="J35" s="4">
        <v>4</v>
      </c>
      <c r="K35" s="4">
        <v>0</v>
      </c>
      <c r="L35" s="4">
        <v>20</v>
      </c>
      <c r="M35" s="4">
        <v>188</v>
      </c>
      <c r="N35" s="4">
        <v>82</v>
      </c>
      <c r="O35" s="4" t="s">
        <v>20</v>
      </c>
    </row>
    <row r="36" spans="1:15" x14ac:dyDescent="0.25">
      <c r="A36" s="15" t="s">
        <v>287</v>
      </c>
      <c r="B36" s="16">
        <v>30</v>
      </c>
      <c r="C36" s="15" t="s">
        <v>95</v>
      </c>
      <c r="D36" s="16" t="s">
        <v>245</v>
      </c>
      <c r="E36" s="15" t="s">
        <v>246</v>
      </c>
      <c r="F36" s="16" t="s">
        <v>67</v>
      </c>
      <c r="G36" s="16">
        <v>25</v>
      </c>
      <c r="H36" s="16">
        <v>0</v>
      </c>
      <c r="I36" s="16">
        <v>0</v>
      </c>
      <c r="J36" s="16">
        <v>1</v>
      </c>
      <c r="K36" s="16">
        <v>0</v>
      </c>
      <c r="L36" s="16">
        <v>15</v>
      </c>
      <c r="M36" s="16">
        <v>192</v>
      </c>
      <c r="N36" s="16">
        <v>86</v>
      </c>
      <c r="O36" s="16" t="s">
        <v>20</v>
      </c>
    </row>
    <row r="37" spans="1:15" x14ac:dyDescent="0.25">
      <c r="A37" s="3" t="s">
        <v>288</v>
      </c>
      <c r="B37" s="4">
        <v>27</v>
      </c>
      <c r="C37" s="3" t="s">
        <v>37</v>
      </c>
      <c r="D37" s="4" t="s">
        <v>245</v>
      </c>
      <c r="E37" s="3" t="s">
        <v>157</v>
      </c>
      <c r="F37" s="4" t="s">
        <v>24</v>
      </c>
      <c r="G37" s="4">
        <v>10</v>
      </c>
      <c r="H37" s="4">
        <v>2</v>
      </c>
      <c r="I37" s="4">
        <v>1</v>
      </c>
      <c r="J37" s="4">
        <v>1</v>
      </c>
      <c r="K37" s="4">
        <v>0</v>
      </c>
      <c r="L37" s="4">
        <v>25</v>
      </c>
      <c r="M37" s="4">
        <v>190</v>
      </c>
      <c r="N37" s="4">
        <v>85</v>
      </c>
      <c r="O37" s="4" t="s">
        <v>20</v>
      </c>
    </row>
    <row r="38" spans="1:15" x14ac:dyDescent="0.25">
      <c r="A38" s="15" t="s">
        <v>289</v>
      </c>
      <c r="B38" s="16">
        <v>32</v>
      </c>
      <c r="C38" s="15" t="s">
        <v>244</v>
      </c>
      <c r="D38" s="16" t="s">
        <v>245</v>
      </c>
      <c r="E38" s="15" t="s">
        <v>157</v>
      </c>
      <c r="F38" s="16" t="s">
        <v>50</v>
      </c>
      <c r="G38" s="16">
        <v>31</v>
      </c>
      <c r="H38" s="16">
        <v>9</v>
      </c>
      <c r="I38" s="16">
        <v>4</v>
      </c>
      <c r="J38" s="16">
        <v>2</v>
      </c>
      <c r="K38" s="16">
        <v>0</v>
      </c>
      <c r="L38" s="16">
        <v>8</v>
      </c>
      <c r="M38" s="16">
        <v>178</v>
      </c>
      <c r="N38" s="16">
        <v>72</v>
      </c>
      <c r="O38" s="16" t="s">
        <v>20</v>
      </c>
    </row>
    <row r="39" spans="1:15" x14ac:dyDescent="0.25">
      <c r="A39" s="3" t="s">
        <v>290</v>
      </c>
      <c r="B39" s="4">
        <v>29</v>
      </c>
      <c r="C39" s="3" t="s">
        <v>244</v>
      </c>
      <c r="D39" s="4" t="s">
        <v>245</v>
      </c>
      <c r="E39" s="3" t="s">
        <v>157</v>
      </c>
      <c r="F39" s="4" t="s">
        <v>74</v>
      </c>
      <c r="G39" s="4">
        <v>34</v>
      </c>
      <c r="H39" s="4">
        <v>4</v>
      </c>
      <c r="I39" s="4">
        <v>4</v>
      </c>
      <c r="J39" s="4">
        <v>8</v>
      </c>
      <c r="K39" s="4">
        <v>0</v>
      </c>
      <c r="L39" s="4">
        <v>20</v>
      </c>
      <c r="M39" s="4">
        <v>187</v>
      </c>
      <c r="N39" s="4">
        <v>78</v>
      </c>
      <c r="O39" s="4" t="s">
        <v>20</v>
      </c>
    </row>
    <row r="40" spans="1:15" x14ac:dyDescent="0.25">
      <c r="A40" s="15" t="s">
        <v>291</v>
      </c>
      <c r="B40" s="16">
        <v>25</v>
      </c>
      <c r="C40" s="15" t="s">
        <v>71</v>
      </c>
      <c r="D40" s="16" t="s">
        <v>245</v>
      </c>
      <c r="E40" s="15" t="s">
        <v>157</v>
      </c>
      <c r="F40" s="16" t="s">
        <v>67</v>
      </c>
      <c r="G40" s="16">
        <v>32</v>
      </c>
      <c r="H40" s="16">
        <v>0</v>
      </c>
      <c r="I40" s="16">
        <v>0</v>
      </c>
      <c r="J40" s="16">
        <v>2</v>
      </c>
      <c r="K40" s="16">
        <v>0</v>
      </c>
      <c r="L40" s="16">
        <v>12</v>
      </c>
      <c r="M40" s="16">
        <v>192</v>
      </c>
      <c r="N40" s="16">
        <v>84</v>
      </c>
      <c r="O40" s="16" t="s">
        <v>20</v>
      </c>
    </row>
    <row r="41" spans="1:15" x14ac:dyDescent="0.25">
      <c r="A41" s="3" t="s">
        <v>256</v>
      </c>
      <c r="B41" s="4">
        <v>26</v>
      </c>
      <c r="C41" s="3" t="s">
        <v>190</v>
      </c>
      <c r="D41" s="4" t="s">
        <v>245</v>
      </c>
      <c r="E41" s="3" t="s">
        <v>292</v>
      </c>
      <c r="F41" s="4" t="s">
        <v>24</v>
      </c>
      <c r="G41" s="4">
        <v>23</v>
      </c>
      <c r="H41" s="4">
        <v>17</v>
      </c>
      <c r="I41" s="4">
        <v>5</v>
      </c>
      <c r="J41" s="4">
        <v>3</v>
      </c>
      <c r="K41" s="4">
        <v>0</v>
      </c>
      <c r="L41" s="4">
        <v>75</v>
      </c>
      <c r="M41" s="4">
        <v>185</v>
      </c>
      <c r="N41" s="4">
        <v>78</v>
      </c>
      <c r="O41" s="4" t="s">
        <v>20</v>
      </c>
    </row>
    <row r="42" spans="1:15" x14ac:dyDescent="0.25">
      <c r="A42" s="15" t="s">
        <v>293</v>
      </c>
      <c r="B42" s="16">
        <v>31</v>
      </c>
      <c r="C42" s="15" t="s">
        <v>244</v>
      </c>
      <c r="D42" s="16" t="s">
        <v>245</v>
      </c>
      <c r="E42" s="15" t="s">
        <v>255</v>
      </c>
      <c r="F42" s="16" t="s">
        <v>64</v>
      </c>
      <c r="G42" s="16">
        <v>32</v>
      </c>
      <c r="H42" s="16">
        <v>3</v>
      </c>
      <c r="I42" s="16">
        <v>6</v>
      </c>
      <c r="J42" s="16">
        <v>5</v>
      </c>
      <c r="K42" s="16">
        <v>0</v>
      </c>
      <c r="L42" s="16">
        <v>25</v>
      </c>
      <c r="M42" s="16">
        <v>183</v>
      </c>
      <c r="N42" s="16">
        <v>78</v>
      </c>
      <c r="O42" s="16" t="s">
        <v>20</v>
      </c>
    </row>
    <row r="43" spans="1:15" x14ac:dyDescent="0.25">
      <c r="A43" s="3" t="s">
        <v>294</v>
      </c>
      <c r="B43" s="4">
        <v>30</v>
      </c>
      <c r="C43" s="3" t="s">
        <v>116</v>
      </c>
      <c r="D43" s="4" t="s">
        <v>245</v>
      </c>
      <c r="E43" s="3" t="s">
        <v>248</v>
      </c>
      <c r="F43" s="4" t="s">
        <v>74</v>
      </c>
      <c r="G43" s="4">
        <v>22</v>
      </c>
      <c r="H43" s="4">
        <v>3</v>
      </c>
      <c r="I43" s="4">
        <v>5</v>
      </c>
      <c r="J43" s="4">
        <v>3</v>
      </c>
      <c r="K43" s="4">
        <v>0</v>
      </c>
      <c r="L43" s="4">
        <v>20</v>
      </c>
      <c r="M43" s="4">
        <v>178</v>
      </c>
      <c r="N43" s="4">
        <v>74</v>
      </c>
      <c r="O43" s="4" t="s">
        <v>20</v>
      </c>
    </row>
    <row r="44" spans="1:15" x14ac:dyDescent="0.25">
      <c r="A44" s="15" t="s">
        <v>295</v>
      </c>
      <c r="B44" s="16">
        <v>28</v>
      </c>
      <c r="C44" s="15" t="s">
        <v>89</v>
      </c>
      <c r="D44" s="16" t="s">
        <v>245</v>
      </c>
      <c r="E44" s="15" t="s">
        <v>255</v>
      </c>
      <c r="F44" s="16" t="s">
        <v>74</v>
      </c>
      <c r="G44" s="16">
        <v>34</v>
      </c>
      <c r="H44" s="16">
        <v>10</v>
      </c>
      <c r="I44" s="16">
        <v>6</v>
      </c>
      <c r="J44" s="16">
        <v>7</v>
      </c>
      <c r="K44" s="16">
        <v>0</v>
      </c>
      <c r="L44" s="16">
        <v>35</v>
      </c>
      <c r="M44" s="16">
        <v>189</v>
      </c>
      <c r="N44" s="16">
        <v>83</v>
      </c>
      <c r="O44" s="16" t="s">
        <v>20</v>
      </c>
    </row>
    <row r="45" spans="1:15" x14ac:dyDescent="0.25">
      <c r="A45" s="3" t="s">
        <v>296</v>
      </c>
      <c r="B45" s="4">
        <v>27</v>
      </c>
      <c r="C45" s="3" t="s">
        <v>244</v>
      </c>
      <c r="D45" s="4" t="s">
        <v>245</v>
      </c>
      <c r="E45" s="3" t="s">
        <v>255</v>
      </c>
      <c r="F45" s="4" t="s">
        <v>67</v>
      </c>
      <c r="G45" s="4">
        <v>36</v>
      </c>
      <c r="H45" s="4">
        <v>0</v>
      </c>
      <c r="I45" s="4">
        <v>0</v>
      </c>
      <c r="J45" s="4">
        <v>2</v>
      </c>
      <c r="K45" s="4">
        <v>0</v>
      </c>
      <c r="L45" s="4">
        <v>18</v>
      </c>
      <c r="M45" s="4">
        <v>190</v>
      </c>
      <c r="N45" s="4">
        <v>82</v>
      </c>
      <c r="O45" s="4" t="s">
        <v>20</v>
      </c>
    </row>
    <row r="46" spans="1:15" x14ac:dyDescent="0.25">
      <c r="A46" s="15" t="s">
        <v>254</v>
      </c>
      <c r="B46" s="16">
        <v>24</v>
      </c>
      <c r="C46" s="15" t="s">
        <v>169</v>
      </c>
      <c r="D46" s="16" t="s">
        <v>245</v>
      </c>
      <c r="E46" s="15" t="s">
        <v>297</v>
      </c>
      <c r="F46" s="16" t="s">
        <v>50</v>
      </c>
      <c r="G46" s="16">
        <v>20</v>
      </c>
      <c r="H46" s="16">
        <v>6</v>
      </c>
      <c r="I46" s="16">
        <v>7</v>
      </c>
      <c r="J46" s="16">
        <v>2</v>
      </c>
      <c r="K46" s="16">
        <v>0</v>
      </c>
      <c r="L46" s="16">
        <v>90</v>
      </c>
      <c r="M46" s="16">
        <v>183</v>
      </c>
      <c r="N46" s="16">
        <v>75</v>
      </c>
      <c r="O46" s="16" t="s">
        <v>20</v>
      </c>
    </row>
    <row r="47" spans="1:15" x14ac:dyDescent="0.25">
      <c r="A47" s="3" t="s">
        <v>298</v>
      </c>
      <c r="B47" s="4">
        <v>31</v>
      </c>
      <c r="C47" s="3" t="s">
        <v>71</v>
      </c>
      <c r="D47" s="4" t="s">
        <v>245</v>
      </c>
      <c r="E47" s="3" t="s">
        <v>255</v>
      </c>
      <c r="F47" s="4" t="s">
        <v>24</v>
      </c>
      <c r="G47" s="4">
        <v>32</v>
      </c>
      <c r="H47" s="4">
        <v>13</v>
      </c>
      <c r="I47" s="4">
        <v>4</v>
      </c>
      <c r="J47" s="4">
        <v>3</v>
      </c>
      <c r="K47" s="4">
        <v>0</v>
      </c>
      <c r="L47" s="4">
        <v>20</v>
      </c>
      <c r="M47" s="4">
        <v>190</v>
      </c>
      <c r="N47" s="4">
        <v>94</v>
      </c>
      <c r="O47" s="4" t="s">
        <v>20</v>
      </c>
    </row>
    <row r="48" spans="1:15" x14ac:dyDescent="0.25">
      <c r="A48" s="15" t="s">
        <v>299</v>
      </c>
      <c r="B48" s="16">
        <v>28</v>
      </c>
      <c r="C48" s="15" t="s">
        <v>32</v>
      </c>
      <c r="D48" s="16" t="s">
        <v>245</v>
      </c>
      <c r="E48" s="15" t="s">
        <v>255</v>
      </c>
      <c r="F48" s="16" t="s">
        <v>62</v>
      </c>
      <c r="G48" s="16">
        <v>34</v>
      </c>
      <c r="H48" s="16">
        <v>5</v>
      </c>
      <c r="I48" s="16">
        <v>5</v>
      </c>
      <c r="J48" s="16">
        <v>8</v>
      </c>
      <c r="K48" s="16">
        <v>0</v>
      </c>
      <c r="L48" s="16">
        <v>30</v>
      </c>
      <c r="M48" s="16">
        <v>185</v>
      </c>
      <c r="N48" s="16">
        <v>80</v>
      </c>
      <c r="O48" s="16" t="s">
        <v>20</v>
      </c>
    </row>
    <row r="49" spans="1:15" x14ac:dyDescent="0.25">
      <c r="A49" s="3" t="s">
        <v>300</v>
      </c>
      <c r="B49" s="4">
        <v>30</v>
      </c>
      <c r="C49" s="3" t="s">
        <v>301</v>
      </c>
      <c r="D49" s="4" t="s">
        <v>245</v>
      </c>
      <c r="E49" s="3" t="s">
        <v>255</v>
      </c>
      <c r="F49" s="4" t="s">
        <v>62</v>
      </c>
      <c r="G49" s="4">
        <v>32</v>
      </c>
      <c r="H49" s="4">
        <v>1</v>
      </c>
      <c r="I49" s="4">
        <v>5</v>
      </c>
      <c r="J49" s="4">
        <v>6</v>
      </c>
      <c r="K49" s="4">
        <v>0</v>
      </c>
      <c r="L49" s="4">
        <v>40</v>
      </c>
      <c r="M49" s="4">
        <v>170</v>
      </c>
      <c r="N49" s="4">
        <v>68</v>
      </c>
      <c r="O49" s="4" t="s">
        <v>20</v>
      </c>
    </row>
    <row r="50" spans="1:15" x14ac:dyDescent="0.25">
      <c r="A50" s="15" t="s">
        <v>302</v>
      </c>
      <c r="B50" s="16">
        <v>24</v>
      </c>
      <c r="C50" s="15" t="s">
        <v>104</v>
      </c>
      <c r="D50" s="16" t="s">
        <v>245</v>
      </c>
      <c r="E50" s="15" t="s">
        <v>255</v>
      </c>
      <c r="F50" s="16" t="s">
        <v>19</v>
      </c>
      <c r="G50" s="16">
        <v>24</v>
      </c>
      <c r="H50" s="16">
        <v>3</v>
      </c>
      <c r="I50" s="16">
        <v>4</v>
      </c>
      <c r="J50" s="16">
        <v>2</v>
      </c>
      <c r="K50" s="16">
        <v>0</v>
      </c>
      <c r="L50" s="16">
        <v>20</v>
      </c>
      <c r="M50" s="16">
        <v>181</v>
      </c>
      <c r="N50" s="16">
        <v>74</v>
      </c>
      <c r="O50" s="16" t="s">
        <v>20</v>
      </c>
    </row>
    <row r="51" spans="1:15" x14ac:dyDescent="0.25">
      <c r="A51" s="3" t="s">
        <v>303</v>
      </c>
      <c r="B51" s="4">
        <v>30</v>
      </c>
      <c r="C51" s="3" t="s">
        <v>304</v>
      </c>
      <c r="D51" s="4" t="s">
        <v>245</v>
      </c>
      <c r="E51" s="3" t="s">
        <v>255</v>
      </c>
      <c r="F51" s="4" t="s">
        <v>60</v>
      </c>
      <c r="G51" s="4">
        <v>30</v>
      </c>
      <c r="H51" s="4">
        <v>3</v>
      </c>
      <c r="I51" s="4">
        <v>1</v>
      </c>
      <c r="J51" s="4">
        <v>4</v>
      </c>
      <c r="K51" s="4">
        <v>0</v>
      </c>
      <c r="L51" s="4">
        <v>20</v>
      </c>
      <c r="M51" s="4">
        <v>189</v>
      </c>
      <c r="N51" s="4">
        <v>82</v>
      </c>
      <c r="O51" s="4" t="s">
        <v>20</v>
      </c>
    </row>
    <row r="52" spans="1:15" x14ac:dyDescent="0.25">
      <c r="A52" s="15" t="s">
        <v>305</v>
      </c>
      <c r="B52" s="16">
        <v>27</v>
      </c>
      <c r="C52" s="15" t="s">
        <v>137</v>
      </c>
      <c r="D52" s="16" t="s">
        <v>245</v>
      </c>
      <c r="E52" s="15" t="s">
        <v>255</v>
      </c>
      <c r="F52" s="16" t="s">
        <v>90</v>
      </c>
      <c r="G52" s="16">
        <v>28</v>
      </c>
      <c r="H52" s="16">
        <v>1</v>
      </c>
      <c r="I52" s="16">
        <v>3</v>
      </c>
      <c r="J52" s="16">
        <v>4</v>
      </c>
      <c r="K52" s="16">
        <v>0</v>
      </c>
      <c r="L52" s="16">
        <v>18</v>
      </c>
      <c r="M52" s="16">
        <v>181</v>
      </c>
      <c r="N52" s="16">
        <v>75</v>
      </c>
      <c r="O52" s="16" t="s">
        <v>20</v>
      </c>
    </row>
  </sheetData>
  <autoFilter ref="A1:O1" xr:uid="{00000000-0009-0000-0000-000004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
  <sheetViews>
    <sheetView workbookViewId="0">
      <selection sqref="A1:G1"/>
    </sheetView>
  </sheetViews>
  <sheetFormatPr defaultRowHeight="15" x14ac:dyDescent="0.25"/>
  <cols>
    <col min="1" max="1" width="20" customWidth="1"/>
    <col min="2" max="2" width="12" customWidth="1"/>
    <col min="3" max="3" width="10" customWidth="1"/>
    <col min="4" max="4" width="13" customWidth="1"/>
    <col min="5" max="5" width="14" customWidth="1"/>
    <col min="6" max="6" width="22" customWidth="1"/>
    <col min="7" max="7" width="28" customWidth="1"/>
  </cols>
  <sheetData>
    <row r="1" spans="1:7" ht="32.1" customHeight="1" x14ac:dyDescent="0.25">
      <c r="A1" s="49" t="s">
        <v>306</v>
      </c>
      <c r="B1" s="50"/>
      <c r="C1" s="50"/>
      <c r="D1" s="50"/>
      <c r="E1" s="50"/>
      <c r="F1" s="50"/>
      <c r="G1" s="50"/>
    </row>
    <row r="3" spans="1:7" x14ac:dyDescent="0.25">
      <c r="A3" s="17" t="s">
        <v>3</v>
      </c>
      <c r="B3" s="17" t="s">
        <v>307</v>
      </c>
      <c r="C3" s="17" t="s">
        <v>308</v>
      </c>
      <c r="D3" s="17" t="s">
        <v>309</v>
      </c>
      <c r="E3" s="17" t="s">
        <v>310</v>
      </c>
      <c r="F3" s="17" t="s">
        <v>311</v>
      </c>
      <c r="G3" s="17" t="s">
        <v>312</v>
      </c>
    </row>
    <row r="4" spans="1:7" x14ac:dyDescent="0.25">
      <c r="A4" s="18" t="s">
        <v>17</v>
      </c>
      <c r="B4" s="19" t="s">
        <v>313</v>
      </c>
      <c r="C4" s="20">
        <v>50</v>
      </c>
      <c r="D4" s="20">
        <v>401</v>
      </c>
      <c r="E4" s="20">
        <v>297</v>
      </c>
      <c r="F4" s="20">
        <v>54.1</v>
      </c>
      <c r="G4" s="19" t="s">
        <v>314</v>
      </c>
    </row>
    <row r="5" spans="1:7" x14ac:dyDescent="0.25">
      <c r="A5" s="21" t="s">
        <v>113</v>
      </c>
      <c r="B5" s="22" t="s">
        <v>315</v>
      </c>
      <c r="C5" s="23">
        <v>49</v>
      </c>
      <c r="D5" s="23">
        <v>305</v>
      </c>
      <c r="E5" s="23">
        <v>236</v>
      </c>
      <c r="F5" s="23">
        <v>55.6</v>
      </c>
      <c r="G5" s="22" t="s">
        <v>316</v>
      </c>
    </row>
    <row r="6" spans="1:7" x14ac:dyDescent="0.25">
      <c r="A6" s="24" t="s">
        <v>182</v>
      </c>
      <c r="B6" s="25" t="s">
        <v>317</v>
      </c>
      <c r="C6" s="26">
        <v>48</v>
      </c>
      <c r="D6" s="26">
        <v>289</v>
      </c>
      <c r="E6" s="26">
        <v>254</v>
      </c>
      <c r="F6" s="26">
        <v>37.9</v>
      </c>
      <c r="G6" s="25" t="s">
        <v>318</v>
      </c>
    </row>
    <row r="7" spans="1:7" x14ac:dyDescent="0.25">
      <c r="A7" s="27" t="s">
        <v>245</v>
      </c>
      <c r="B7" s="28" t="s">
        <v>319</v>
      </c>
      <c r="C7" s="29">
        <v>51</v>
      </c>
      <c r="D7" s="29">
        <v>278</v>
      </c>
      <c r="E7" s="29">
        <v>232</v>
      </c>
      <c r="F7" s="29">
        <v>38.200000000000003</v>
      </c>
      <c r="G7" s="28" t="s">
        <v>320</v>
      </c>
    </row>
  </sheetData>
  <mergeCells count="1">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defaultRowHeight="15" x14ac:dyDescent="0.25"/>
  <cols>
    <col min="1" max="1" width="20" customWidth="1"/>
    <col min="2" max="2" width="70" customWidth="1"/>
  </cols>
  <sheetData>
    <row r="1" spans="1:2" ht="16.5" x14ac:dyDescent="0.25">
      <c r="A1" s="30" t="s">
        <v>321</v>
      </c>
    </row>
    <row r="3" spans="1:2" x14ac:dyDescent="0.25">
      <c r="A3" s="31" t="s">
        <v>322</v>
      </c>
      <c r="B3" s="32" t="s">
        <v>323</v>
      </c>
    </row>
    <row r="4" spans="1:2" x14ac:dyDescent="0.25">
      <c r="A4" s="31" t="s">
        <v>14</v>
      </c>
      <c r="B4" s="32" t="s">
        <v>324</v>
      </c>
    </row>
    <row r="5" spans="1:2" x14ac:dyDescent="0.25">
      <c r="A5" s="31" t="s">
        <v>325</v>
      </c>
      <c r="B5" s="32" t="s">
        <v>326</v>
      </c>
    </row>
    <row r="6" spans="1:2" x14ac:dyDescent="0.25">
      <c r="A6" s="31" t="s">
        <v>327</v>
      </c>
      <c r="B6" s="32" t="s">
        <v>328</v>
      </c>
    </row>
    <row r="7" spans="1:2" x14ac:dyDescent="0.25">
      <c r="A7" s="31" t="s">
        <v>7</v>
      </c>
      <c r="B7" s="32" t="s">
        <v>329</v>
      </c>
    </row>
    <row r="8" spans="1:2" x14ac:dyDescent="0.25">
      <c r="A8" s="31" t="s">
        <v>6</v>
      </c>
      <c r="B8" s="32" t="s">
        <v>330</v>
      </c>
    </row>
    <row r="9" spans="1:2" x14ac:dyDescent="0.25">
      <c r="A9" s="31" t="s">
        <v>331</v>
      </c>
      <c r="B9" s="32" t="s">
        <v>332</v>
      </c>
    </row>
    <row r="10" spans="1:2" x14ac:dyDescent="0.25">
      <c r="A10" s="31" t="s">
        <v>333</v>
      </c>
      <c r="B10" s="32" t="s">
        <v>334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PivotData</vt:lpstr>
      <vt:lpstr>All Leagues</vt:lpstr>
      <vt:lpstr>Premier League</vt:lpstr>
      <vt:lpstr>La Liga</vt:lpstr>
      <vt:lpstr>Bundesliga</vt:lpstr>
      <vt:lpstr>Serie A</vt:lpstr>
      <vt:lpstr>Summary</vt:lpstr>
      <vt:lpstr>Data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Wesley Truter</cp:lastModifiedBy>
  <cp:lastPrinted>2026-03-19T07:04:22Z</cp:lastPrinted>
  <dcterms:created xsi:type="dcterms:W3CDTF">2026-03-16T09:28:49Z</dcterms:created>
  <dcterms:modified xsi:type="dcterms:W3CDTF">2026-03-19T07:04:58Z</dcterms:modified>
</cp:coreProperties>
</file>